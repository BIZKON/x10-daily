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EADME" sheetId="1" state="visible" r:id="rId3"/>
    <sheet name="Допущения" sheetId="2" state="visible" r:id="rId4"/>
    <sheet name="Воронка" sheetId="3" state="visible" r:id="rId5"/>
    <sheet name="Доходы" sheetId="4" state="visible" r:id="rId6"/>
    <sheet name="Расходы" sheetId="5" state="visible" r:id="rId7"/>
    <sheet name="P&amp;L" sheetId="6" state="visible" r:id="rId8"/>
    <sheet name="Cashflow" sheetId="7" state="visible" r:id="rId9"/>
    <sheet name="Юнит-экономика" sheetId="8" state="visible" r:id="rId10"/>
    <sheet name="Сценарии" sheetId="9" state="visible" r:id="rId11"/>
    <sheet name="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x10movement.ru, май 2026</t>
        </r>
      </text>
    </comment>
    <comment ref="C8" authorId="0">
      <text>
        <r>
          <rPr>
            <sz val="10"/>
            <rFont val="Arial"/>
            <family val="2"/>
          </rPr>
          <t xml:space="preserve">Forbes.ru, 2025</t>
        </r>
      </text>
    </comment>
    <comment ref="C9" authorId="0">
      <text>
        <r>
          <rPr>
            <sz val="10"/>
            <rFont val="Arial"/>
            <family val="2"/>
          </rPr>
          <t xml:space="preserve">канал @rybakov_igor</t>
        </r>
      </text>
    </comment>
    <comment ref="C10" authorId="0">
      <text>
        <r>
          <rPr>
            <sz val="10"/>
            <rFont val="Arial"/>
            <family val="2"/>
          </rPr>
          <t xml:space="preserve">@rybakov_igor</t>
        </r>
      </text>
    </comment>
    <comment ref="C11" authorId="0">
      <text>
        <r>
          <rPr>
            <sz val="10"/>
            <rFont val="Arial"/>
            <family val="2"/>
          </rPr>
          <t xml:space="preserve">TikTok аналитика, 2025</t>
        </r>
      </text>
    </comment>
    <comment ref="C12" authorId="0">
      <text>
        <r>
          <rPr>
            <sz val="10"/>
            <rFont val="Arial"/>
            <family val="2"/>
          </rPr>
          <t xml:space="preserve">30% уникальной активной аудитории из суммы</t>
        </r>
      </text>
    </comment>
    <comment ref="C18" authorId="0">
      <text>
        <r>
          <rPr>
            <sz val="10"/>
            <rFont val="Arial"/>
            <family val="2"/>
          </rPr>
          <t xml:space="preserve">из 30 885 → 26K installs (хайп-канал)</t>
        </r>
      </text>
    </comment>
    <comment ref="C19" authorId="0">
      <text>
        <r>
          <rPr>
            <sz val="10"/>
            <rFont val="Arial"/>
            <family val="2"/>
          </rPr>
          <t xml:space="preserve">ранние юзеры заходят в Q1</t>
        </r>
      </text>
    </comment>
    <comment ref="C22" authorId="0">
      <text>
        <r>
          <rPr>
            <sz val="10"/>
            <rFont val="Arial"/>
            <family val="2"/>
          </rPr>
          <t xml:space="preserve">сумма = 100%</t>
        </r>
      </text>
    </comment>
    <comment ref="C25" authorId="0">
      <text>
        <r>
          <rPr>
            <sz val="10"/>
            <rFont val="Arial"/>
            <family val="2"/>
          </rPr>
          <t xml:space="preserve">0.5%/мес — с прямым CTA в каждом ролике</t>
        </r>
      </text>
    </comment>
    <comment ref="C26" authorId="0">
      <text>
        <r>
          <rPr>
            <sz val="10"/>
            <rFont val="Arial"/>
            <family val="2"/>
          </rPr>
          <t xml:space="preserve">множитель к месячной конверсии после M3</t>
        </r>
      </text>
    </comment>
    <comment ref="C29" authorId="0">
      <text>
        <r>
          <rPr>
            <sz val="10"/>
            <rFont val="Arial"/>
            <family val="2"/>
          </rPr>
          <t xml:space="preserve">M4 — после стабилизации MVP</t>
        </r>
      </text>
    </comment>
    <comment ref="C30" authorId="0">
      <text>
        <r>
          <rPr>
            <sz val="10"/>
            <rFont val="Arial"/>
            <family val="2"/>
          </rPr>
          <t xml:space="preserve">Morning Brew benchmark ~0.05–0.08</t>
        </r>
      </text>
    </comment>
    <comment ref="C31" authorId="0">
      <text>
        <r>
          <rPr>
            <sz val="10"/>
            <rFont val="Arial"/>
            <family val="2"/>
          </rPr>
          <t xml:space="preserve">высокая — приходят по доверию</t>
        </r>
      </text>
    </comment>
    <comment ref="C34" authorId="0">
      <text>
        <r>
          <rPr>
            <sz val="10"/>
            <rFont val="Arial"/>
            <family val="2"/>
          </rPr>
          <t xml:space="preserve">цель стратегии · TG Ads + блогеры</t>
        </r>
      </text>
    </comment>
    <comment ref="C35" authorId="0">
      <text>
        <r>
          <rPr>
            <sz val="10"/>
            <rFont val="Arial"/>
            <family val="2"/>
          </rPr>
          <t xml:space="preserve">разогрев, тесты</t>
        </r>
      </text>
    </comment>
    <comment ref="C36" authorId="0">
      <text>
        <r>
          <rPr>
            <sz val="10"/>
            <rFont val="Arial"/>
            <family val="2"/>
          </rPr>
          <t xml:space="preserve">push на 25K DAU</t>
        </r>
      </text>
    </comment>
    <comment ref="C37" authorId="0">
      <text>
        <r>
          <rPr>
            <sz val="10"/>
            <rFont val="Arial"/>
            <family val="2"/>
          </rPr>
          <t xml:space="preserve">органика берёт верх</t>
        </r>
      </text>
    </comment>
    <comment ref="C38" authorId="0">
      <text>
        <r>
          <rPr>
            <sz val="10"/>
            <rFont val="Arial"/>
            <family val="2"/>
          </rPr>
          <t xml:space="preserve">реинвест из выручки</t>
        </r>
      </text>
    </comment>
    <comment ref="C41" authorId="0">
      <text>
        <r>
          <rPr>
            <sz val="10"/>
            <rFont val="Arial"/>
            <family val="2"/>
          </rPr>
          <t xml:space="preserve">консервативно</t>
        </r>
      </text>
    </comment>
    <comment ref="C42" authorId="0">
      <text>
        <r>
          <rPr>
            <sz val="10"/>
            <rFont val="Arial"/>
            <family val="2"/>
          </rPr>
          <t xml:space="preserve">репутация набирается</t>
        </r>
      </text>
    </comment>
    <comment ref="C46" authorId="0">
      <text>
        <r>
          <rPr>
            <sz val="10"/>
            <rFont val="Arial"/>
            <family val="2"/>
          </rPr>
          <t xml:space="preserve">стандарт для daily media</t>
        </r>
      </text>
    </comment>
    <comment ref="C47" authorId="0">
      <text>
        <r>
          <rPr>
            <sz val="10"/>
            <rFont val="Arial"/>
            <family val="2"/>
          </rPr>
          <t xml:space="preserve">цель стратегии ≥30%</t>
        </r>
      </text>
    </comment>
    <comment ref="C48" authorId="0">
      <text>
        <r>
          <rPr>
            <sz val="10"/>
            <rFont val="Arial"/>
            <family val="2"/>
          </rPr>
          <t xml:space="preserve">цель ≥38% после улучшений</t>
        </r>
      </text>
    </comment>
    <comment ref="C49" authorId="0">
      <text>
        <r>
          <rPr>
            <sz val="10"/>
            <rFont val="Arial"/>
            <family val="2"/>
          </rPr>
          <t xml:space="preserve">AI-персонализация запущена</t>
        </r>
      </text>
    </comment>
    <comment ref="C50" authorId="0">
      <text>
        <r>
          <rPr>
            <sz val="10"/>
            <rFont val="Arial"/>
            <family val="2"/>
          </rPr>
          <t xml:space="preserve">зрелый продукт</t>
        </r>
      </text>
    </comment>
    <comment ref="C51" authorId="0">
      <text>
        <r>
          <rPr>
            <sz val="10"/>
            <rFont val="Arial"/>
            <family val="2"/>
          </rPr>
          <t xml:space="preserve">daily-push news product, бенчмарк 0.40–0.60</t>
        </r>
      </text>
    </comment>
    <comment ref="C52" authorId="0">
      <text>
        <r>
          <rPr>
            <sz val="10"/>
            <rFont val="Arial"/>
            <family val="2"/>
          </rPr>
          <t xml:space="preserve">default = 1.0, можно ужесточить до 0.80–0.90</t>
        </r>
      </text>
    </comment>
    <comment ref="C53" authorId="0">
      <text>
        <r>
          <rPr>
            <sz val="10"/>
            <rFont val="Arial"/>
            <family val="2"/>
          </rPr>
          <t xml:space="preserve">10%/мес churn на engaged-юзеров после W4</t>
        </r>
      </text>
    </comment>
    <comment ref="C56" authorId="0">
      <text>
        <r>
          <rPr>
            <sz val="10"/>
            <rFont val="Arial"/>
            <family val="2"/>
          </rPr>
          <t xml:space="preserve">цель стратегии</t>
        </r>
      </text>
    </comment>
    <comment ref="C57" authorId="0">
      <text>
        <r>
          <rPr>
            <sz val="10"/>
            <rFont val="Arial"/>
            <family val="2"/>
          </rPr>
          <t xml:space="preserve">12 600 ₽/год вместо 18 000</t>
        </r>
      </text>
    </comment>
    <comment ref="C58" authorId="0">
      <text>
        <r>
          <rPr>
            <sz val="10"/>
            <rFont val="Arial"/>
            <family val="2"/>
          </rPr>
          <t xml:space="preserve">после M6</t>
        </r>
      </text>
    </comment>
    <comment ref="C59" authorId="0">
      <text>
        <r>
          <rPr>
            <sz val="10"/>
            <rFont val="Arial"/>
            <family val="2"/>
          </rPr>
          <t xml:space="preserve">0.1% — Premium ещё не запущен, ранние pre-orders</t>
        </r>
      </text>
    </comment>
    <comment ref="C60" authorId="0">
      <text>
        <r>
          <rPr>
            <sz val="10"/>
            <rFont val="Arial"/>
            <family val="2"/>
          </rPr>
          <t xml:space="preserve">0.2% — запуск Premium, gated-контент</t>
        </r>
      </text>
    </comment>
    <comment ref="C61" authorId="0">
      <text>
        <r>
          <rPr>
            <sz val="10"/>
            <rFont val="Arial"/>
            <family val="2"/>
          </rPr>
          <t xml:space="preserve">0.3% — AI-саммари + директория</t>
        </r>
      </text>
    </comment>
    <comment ref="C62" authorId="0">
      <text>
        <r>
          <rPr>
            <sz val="10"/>
            <rFont val="Arial"/>
            <family val="2"/>
          </rPr>
          <t xml:space="preserve">0.4% — зрелый продукт; бенчмарк Substack/Stratechery</t>
        </r>
      </text>
    </comment>
    <comment ref="C63" authorId="0">
      <text>
        <r>
          <rPr>
            <sz val="10"/>
            <rFont val="Arial"/>
            <family val="2"/>
          </rPr>
          <t xml:space="preserve">8% — старт, ранние юзеры</t>
        </r>
      </text>
    </comment>
    <comment ref="C64" authorId="0">
      <text>
        <r>
          <rPr>
            <sz val="10"/>
            <rFont val="Arial"/>
            <family val="2"/>
          </rPr>
          <t xml:space="preserve">6% — улучшенный onboarding</t>
        </r>
      </text>
    </comment>
    <comment ref="C68" authorId="0">
      <text>
        <r>
          <rPr>
            <sz val="10"/>
            <rFont val="Arial"/>
            <family val="2"/>
          </rPr>
          <t xml:space="preserve">уровень главреда РБК Pro/Forbes</t>
        </r>
      </text>
    </comment>
    <comment ref="C69" authorId="0">
      <text>
        <r>
          <rPr>
            <sz val="10"/>
            <rFont val="Arial"/>
            <family val="2"/>
          </rPr>
          <t xml:space="preserve">опытный, в Москве</t>
        </r>
      </text>
    </comment>
    <comment ref="C70" authorId="0">
      <text>
        <r>
          <rPr>
            <sz val="10"/>
            <rFont val="Arial"/>
            <family val="2"/>
          </rPr>
          <t xml:space="preserve">Next.js + Hono + Workers, мидл-сеньор</t>
        </r>
      </text>
    </comment>
    <comment ref="C71" authorId="0">
      <text>
        <r>
          <rPr>
            <sz val="10"/>
            <rFont val="Arial"/>
            <family val="2"/>
          </rPr>
          <t xml:space="preserve">0.5 × 240K</t>
        </r>
      </text>
    </comment>
    <comment ref="C72" authorId="0">
      <text>
        <r>
          <rPr>
            <sz val="10"/>
            <rFont val="Arial"/>
            <family val="2"/>
          </rPr>
          <t xml:space="preserve">0.5 × 300K</t>
        </r>
      </text>
    </comment>
    <comment ref="C73" authorId="0">
      <text>
        <r>
          <rPr>
            <sz val="10"/>
            <rFont val="Arial"/>
            <family val="2"/>
          </rPr>
          <t xml:space="preserve">нанимаем M4</t>
        </r>
      </text>
    </comment>
    <comment ref="C74" authorId="0">
      <text>
        <r>
          <rPr>
            <sz val="10"/>
            <rFont val="Arial"/>
            <family val="2"/>
          </rPr>
          <t xml:space="preserve">нанимаем M7 — клампы, события</t>
        </r>
      </text>
    </comment>
    <comment ref="C75" authorId="0">
      <text>
        <r>
          <rPr>
            <sz val="10"/>
            <rFont val="Arial"/>
            <family val="2"/>
          </rPr>
          <t xml:space="preserve">30% страховые + НДФЛ упрощённо</t>
        </r>
      </text>
    </comment>
    <comment ref="C78" authorId="0">
      <text>
        <r>
          <rPr>
            <sz val="10"/>
            <rFont val="Arial"/>
            <family val="2"/>
          </rPr>
          <t xml:space="preserve">до 10K DAU</t>
        </r>
      </text>
    </comment>
    <comment ref="C79" authorId="0">
      <text>
        <r>
          <rPr>
            <sz val="10"/>
            <rFont val="Arial"/>
            <family val="2"/>
          </rPr>
          <t xml:space="preserve">масштабирование БД и CDN</t>
        </r>
      </text>
    </comment>
    <comment ref="C80" authorId="0">
      <text>
        <r>
          <rPr>
            <sz val="10"/>
            <rFont val="Arial"/>
            <family val="2"/>
          </rPr>
          <t xml:space="preserve">YandexGPT-5 Pro, ~3K токенов</t>
        </r>
      </text>
    </comment>
    <comment ref="C81" authorId="0">
      <text>
        <r>
          <rPr>
            <sz val="10"/>
            <rFont val="Arial"/>
            <family val="2"/>
          </rPr>
          <t xml:space="preserve">SaluteSpeech TTS</t>
        </r>
      </text>
    </comment>
    <comment ref="C82" authorId="0">
      <text>
        <r>
          <rPr>
            <sz val="10"/>
            <rFont val="Arial"/>
            <family val="2"/>
          </rPr>
          <t xml:space="preserve">3 дайджеста × 30 дней</t>
        </r>
      </text>
    </comment>
    <comment ref="C83" authorId="0">
      <text>
        <r>
          <rPr>
            <sz val="10"/>
            <rFont val="Arial"/>
            <family val="2"/>
          </rPr>
          <t xml:space="preserve">AI-пайплайн + ручная редакция</t>
        </r>
      </text>
    </comment>
    <comment ref="C86" authorId="0">
      <text>
        <r>
          <rPr>
            <sz val="10"/>
            <rFont val="Arial"/>
            <family val="2"/>
          </rPr>
          <t xml:space="preserve">1 в мес в среднем</t>
        </r>
      </text>
    </comment>
    <comment ref="C87" authorId="0">
      <text>
        <r>
          <rPr>
            <sz val="10"/>
            <rFont val="Arial"/>
            <family val="2"/>
          </rPr>
          <t xml:space="preserve">1.5М ₽ / 12</t>
        </r>
      </text>
    </comment>
    <comment ref="C88" authorId="0">
      <text>
        <r>
          <rPr>
            <sz val="10"/>
            <rFont val="Arial"/>
            <family val="2"/>
          </rPr>
          <t xml:space="preserve">500 ₽/билет × 300 + спонсоры</t>
        </r>
      </text>
    </comment>
    <comment ref="C89" authorId="0">
      <text>
        <r>
          <rPr>
            <sz val="10"/>
            <rFont val="Arial"/>
            <family val="2"/>
          </rPr>
          <t xml:space="preserve">типография + дизайн + распр.</t>
        </r>
      </text>
    </comment>
    <comment ref="C90" authorId="0">
      <text>
        <r>
          <rPr>
            <sz val="10"/>
            <rFont val="Arial"/>
            <family val="2"/>
          </rPr>
          <t xml:space="preserve">раз в квартал</t>
        </r>
      </text>
    </comment>
    <comment ref="C93" authorId="0">
      <text>
        <r>
          <rPr>
            <sz val="10"/>
            <rFont val="Arial"/>
            <family val="2"/>
          </rPr>
          <t xml:space="preserve">ИП на УСН + юр. консультант</t>
        </r>
      </text>
    </comment>
    <comment ref="C94" authorId="0">
      <text>
        <r>
          <rPr>
            <sz val="10"/>
            <rFont val="Arial"/>
            <family val="2"/>
          </rPr>
          <t xml:space="preserve">буферный</t>
        </r>
      </text>
    </comment>
    <comment ref="C95" authorId="0">
      <text>
        <r>
          <rPr>
            <sz val="10"/>
            <rFont val="Arial"/>
            <family val="2"/>
          </rPr>
          <t xml:space="preserve">6 мес операционки до выручки</t>
        </r>
      </text>
    </comment>
    <comment ref="C96" authorId="0">
      <text>
        <r>
          <rPr>
            <sz val="10"/>
            <rFont val="Arial"/>
            <family val="2"/>
          </rPr>
          <t xml:space="preserve">2.9% от выручки Premium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3" authorId="0">
      <text>
        <r>
          <rPr>
            <sz val="10"/>
            <rFont val="Arial"/>
            <family val="2"/>
          </rPr>
          <t xml:space="preserve">Strategy v1.0 — gating criteria</t>
        </r>
      </text>
    </comment>
    <comment ref="G33" authorId="0">
      <text>
        <r>
          <rPr>
            <sz val="10"/>
            <rFont val="Arial"/>
            <family val="2"/>
          </rPr>
          <t xml:space="preserve">Strategy v1.0 — gating criteria</t>
        </r>
      </text>
    </comment>
    <comment ref="J33" authorId="0">
      <text>
        <r>
          <rPr>
            <sz val="10"/>
            <rFont val="Arial"/>
            <family val="2"/>
          </rPr>
          <t xml:space="preserve">Strategy v1.0 — gating criteria</t>
        </r>
      </text>
    </comment>
    <comment ref="M33" authorId="0">
      <text>
        <r>
          <rPr>
            <sz val="10"/>
            <rFont val="Arial"/>
            <family val="2"/>
          </rPr>
          <t xml:space="preserve">Strategy v1.0 — gating criteria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C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D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D30" authorId="0">
      <text>
        <r>
          <rPr>
            <sz val="10"/>
            <rFont val="Arial"/>
            <family val="2"/>
          </rPr>
          <t xml:space="preserve">Strategy v1.0 gating</t>
        </r>
      </text>
    </comment>
    <comment ref="E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F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G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G30" authorId="0">
      <text>
        <r>
          <rPr>
            <sz val="10"/>
            <rFont val="Arial"/>
            <family val="2"/>
          </rPr>
          <t xml:space="preserve">Strategy v1.0 gating</t>
        </r>
      </text>
    </comment>
    <comment ref="H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I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J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J30" authorId="0">
      <text>
        <r>
          <rPr>
            <sz val="10"/>
            <rFont val="Arial"/>
            <family val="2"/>
          </rPr>
          <t xml:space="preserve">Strategy v1.0 gating</t>
        </r>
      </text>
    </comment>
    <comment ref="K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L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M22" authorId="0">
      <text>
        <r>
          <rPr>
            <sz val="10"/>
            <rFont val="Arial"/>
            <family val="2"/>
          </rPr>
          <t xml:space="preserve">План ивентов · стратегия 12 событий/год</t>
        </r>
      </text>
    </comment>
    <comment ref="M30" authorId="0">
      <text>
        <r>
          <rPr>
            <sz val="10"/>
            <rFont val="Arial"/>
            <family val="2"/>
          </rPr>
          <t xml:space="preserve">Strategy v1.0 gating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51" authorId="0">
      <text>
        <r>
          <rPr>
            <sz val="10"/>
            <rFont val="Arial"/>
            <family val="2"/>
          </rPr>
          <t xml:space="preserve">X10 Strategy v1.0 — total annual budget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B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B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B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C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C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C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C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D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D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D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D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E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E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E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E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F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F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F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F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G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G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G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G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H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H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H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H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I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I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I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I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J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J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J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J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K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K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K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K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L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L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L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L24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M8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M13" authorId="0">
      <text>
        <r>
          <rPr>
            <sz val="10"/>
            <rFont val="Arial"/>
            <family val="2"/>
          </rPr>
          <t xml:space="preserve">Strategy v1.0 unit economics</t>
        </r>
      </text>
    </comment>
    <comment ref="M20" authorId="0">
      <text>
        <r>
          <rPr>
            <sz val="10"/>
            <rFont val="Arial"/>
            <family val="2"/>
          </rPr>
          <t xml:space="preserve">Strategy v1.0 — 18mo LTV</t>
        </r>
      </text>
    </comment>
    <comment ref="M24" authorId="0">
      <text>
        <r>
          <rPr>
            <sz val="10"/>
            <rFont val="Arial"/>
            <family val="2"/>
          </rPr>
          <t xml:space="preserve">Strategy v1.0 unit economics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1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2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3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4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5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6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7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8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59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60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61" authorId="0">
      <text>
        <r>
          <rPr>
            <sz val="10"/>
            <rFont val="Arial"/>
            <family val="2"/>
          </rPr>
          <t xml:space="preserve">Linear interp of strategy gates</t>
        </r>
      </text>
    </comment>
    <comment ref="C62" authorId="0">
      <text>
        <r>
          <rPr>
            <sz val="10"/>
            <rFont val="Arial"/>
            <family val="2"/>
          </rPr>
          <t xml:space="preserve">Linear interp of strategy gates</t>
        </r>
      </text>
    </comment>
  </commentList>
</comments>
</file>

<file path=xl/sharedStrings.xml><?xml version="1.0" encoding="utf-8"?>
<sst xmlns="http://schemas.openxmlformats.org/spreadsheetml/2006/main" count="690" uniqueCount="478">
  <si>
    <t xml:space="preserve">Х10 DAILY</t>
  </si>
  <si>
    <t xml:space="preserve">Финансовая модель · 12 месяцев · v1.0</t>
  </si>
  <si>
    <t xml:space="preserve">Бизнес-Практика → ежедневное медиа · период: июнь 2026 — май 2027</t>
  </si>
  <si>
    <t xml:space="preserve">80 000 DAU · 2 000 платных · ~36 М ₽ ARR · кэш-нейтрал в Q3 2026</t>
  </si>
  <si>
    <t xml:space="preserve">  СОДЕРЖАНИЕ МОДЕЛИ</t>
  </si>
  <si>
    <t xml:space="preserve">Допущения</t>
  </si>
  <si>
    <t xml:space="preserve">Все драйверы модели в одном месте. Меняй синие ячейки → пересчитается всё.</t>
  </si>
  <si>
    <t xml:space="preserve">Воронка</t>
  </si>
  <si>
    <t xml:space="preserve">Привлечение по каналам, конверсия в DAU, retention. M1–M12 помесячно.</t>
  </si>
  <si>
    <t xml:space="preserve">Доходы</t>
  </si>
  <si>
    <t xml:space="preserve">Premium-подписки, события, печать. MRR, ARR, помесячная выручка.</t>
  </si>
  <si>
    <t xml:space="preserve">Расходы</t>
  </si>
  <si>
    <t xml:space="preserve">ФОТ команды, инфраструктура, AI, маркетинг, события, юр/бух. Помесячно.</t>
  </si>
  <si>
    <t xml:space="preserve">P&amp;L</t>
  </si>
  <si>
    <t xml:space="preserve">Отчёт о прибылях и убытках: выручка, COGS, OpEx, EBITDA, маржа.</t>
  </si>
  <si>
    <t xml:space="preserve">Cashflow</t>
  </si>
  <si>
    <t xml:space="preserve">Движение денежных средств: поступления, выплаты, кумулятивный остаток.</t>
  </si>
  <si>
    <t xml:space="preserve">Юнит-экономика</t>
  </si>
  <si>
    <t xml:space="preserve">CAC по каналам, LTV, payback, contribution margin, LTV/CAC.</t>
  </si>
  <si>
    <t xml:space="preserve">Сценарии</t>
  </si>
  <si>
    <t xml:space="preserve">Bear / Base / Bull — что происходит при разных уровнях конверсии и retention.</t>
  </si>
  <si>
    <t xml:space="preserve">Dashboard</t>
  </si>
  <si>
    <t xml:space="preserve">Сводка ключевых KPI и графики: DAU, paid, MRR, cash.</t>
  </si>
  <si>
    <t xml:space="preserve">  ЦВЕТОВОЙ КОД</t>
  </si>
  <si>
    <t xml:space="preserve">Синий шрифт</t>
  </si>
  <si>
    <t xml:space="preserve">Вход. Меняй эти ячейки для what-if анализа.</t>
  </si>
  <si>
    <t xml:space="preserve">Чёрный шрифт</t>
  </si>
  <si>
    <t xml:space="preserve">Формула. Не трогай — пересчитается автоматически.</t>
  </si>
  <si>
    <t xml:space="preserve">Зелёный шрифт</t>
  </si>
  <si>
    <t xml:space="preserve">Ссылка на другой лист книги.</t>
  </si>
  <si>
    <t xml:space="preserve">Жёлтая заливка</t>
  </si>
  <si>
    <t xml:space="preserve">Ключевой рычаг модели. Меняет результат больше всего.</t>
  </si>
  <si>
    <t xml:space="preserve">Красная плашка</t>
  </si>
  <si>
    <t xml:space="preserve">Заголовок раздела (бренд Х10).</t>
  </si>
  <si>
    <t xml:space="preserve">  ИСТОЧНИКИ ДАННЫХ</t>
  </si>
  <si>
    <t xml:space="preserve">Стратегия v1.0</t>
  </si>
  <si>
    <t xml:space="preserve">X10Strategyv1_0.pdf — все таргеты по DAU, paid, бюджету</t>
  </si>
  <si>
    <t xml:space="preserve">Бенчмарк нишевых медиа</t>
  </si>
  <si>
    <t xml:space="preserve">Morning Brew, Stratechery, The Information, Sifted, Lenny's — конверсии и retention</t>
  </si>
  <si>
    <t xml:space="preserve">Х10 community</t>
  </si>
  <si>
    <t xml:space="preserve">x10movement.ru — 30 885 кламперов на старте</t>
  </si>
  <si>
    <t xml:space="preserve">Рыбаков media</t>
  </si>
  <si>
    <t xml:space="preserve">~6 млн подписчиков (YouTube 2.6M, IG 1M, TT 2.1M, TG 156K)</t>
  </si>
  <si>
    <t xml:space="preserve">Затраты — рынок РФ</t>
  </si>
  <si>
    <t xml:space="preserve">ФОТ — медианы hh.ru для редакторских/инженерных позиций 2025–2026</t>
  </si>
  <si>
    <t xml:space="preserve">  КАК РАБОТАТЬ С МОДЕЛЬЮ</t>
  </si>
  <si>
    <t xml:space="preserve">1. Стартовая точка</t>
  </si>
  <si>
    <t xml:space="preserve">Лист «Допущения». Все базовые гипотезы — там.</t>
  </si>
  <si>
    <t xml:space="preserve">2. Главные рычаги</t>
  </si>
  <si>
    <t xml:space="preserve">Жёлтые ячейки: конверсия free→paid, retention, CAC. Меняй их в первую очередь.</t>
  </si>
  <si>
    <t xml:space="preserve">3. What-if быстро</t>
  </si>
  <si>
    <t xml:space="preserve">Лист «Сценарии» — три заранее посчитанных варианта (Bear/Base/Bull).</t>
  </si>
  <si>
    <t xml:space="preserve">4. Триггеры пересборки</t>
  </si>
  <si>
    <t xml:space="preserve">Если paid &lt;1% за 6 мес — Bear-сценарий. Если retention &lt;25% — пересборка дайджеста.</t>
  </si>
  <si>
    <t xml:space="preserve">5. Контрольные точки</t>
  </si>
  <si>
    <t xml:space="preserve">Лист «Dashboard» — там KPI vs план по кварталам.</t>
  </si>
  <si>
    <t xml:space="preserve">Конфиденциально · Х10 / Бизнес-Практика · 25 мая 2026</t>
  </si>
  <si>
    <t xml:space="preserve">ДОПУЩЕНИЯ МОДЕЛИ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</si>
  <si>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</si>
  <si>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</si>
  <si>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</si>
  <si>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</si>
  <si>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  1. БАЗА АУДИТОРИИ (стартовые пулы)</t>
  </si>
  <si>
    <t xml:space="preserve">База Х10 — действующие кламперы</t>
  </si>
  <si>
    <t xml:space="preserve">чел</t>
  </si>
  <si>
    <t xml:space="preserve">x10movement.ru, май 2026</t>
  </si>
  <si>
    <t xml:space="preserve">Рыбаков · YouTube</t>
  </si>
  <si>
    <t xml:space="preserve">Forbes.ru, 2025</t>
  </si>
  <si>
    <t xml:space="preserve">Рыбаков · Telegram</t>
  </si>
  <si>
    <t xml:space="preserve">канал @rybakov_igor</t>
  </si>
  <si>
    <t xml:space="preserve">Рыбаков · Instagram</t>
  </si>
  <si>
    <t xml:space="preserve">@rybakov_igor</t>
  </si>
  <si>
    <t xml:space="preserve">Рыбаков · TikTok</t>
  </si>
  <si>
    <t xml:space="preserve">TikTok аналитика, 2025</t>
  </si>
  <si>
    <t xml:space="preserve">Поправка на пересечение каналов</t>
  </si>
  <si>
    <t xml:space="preserve">%</t>
  </si>
  <si>
    <t xml:space="preserve">30% уникальной активной аудитории из суммы</t>
  </si>
  <si>
    <t xml:space="preserve">Сумма подписчиков Рыбакова (брутто)</t>
  </si>
  <si>
    <t xml:space="preserve">Активная уникальная база (с поправкой на overlap)</t>
  </si>
  <si>
    <t xml:space="preserve">  2. ВОРОНКА ПРИВЛЕЧЕНИЯ — конверсии по каналам</t>
  </si>
  <si>
    <t xml:space="preserve">Канал 1: Х10 community — organic</t>
  </si>
  <si>
    <t xml:space="preserve">  Совокупная конверсия базы Х10 в installs за 12 мес</t>
  </si>
  <si>
    <t xml:space="preserve">из 30 885 → 26K installs (хайп-канал)</t>
  </si>
  <si>
    <t xml:space="preserve">  Доля установок в Q1 от 12-мес итога</t>
  </si>
  <si>
    <t xml:space="preserve">ранние юзеры заходят в Q1</t>
  </si>
  <si>
    <t xml:space="preserve">  Доля установок в Q2</t>
  </si>
  <si>
    <t xml:space="preserve">  Доля установок в Q3</t>
  </si>
  <si>
    <t xml:space="preserve">  Доля установок в Q4</t>
  </si>
  <si>
    <t xml:space="preserve">сумма = 100%</t>
  </si>
  <si>
    <t xml:space="preserve">Канал 2: Рыбаков media — organic (TG/YT/IG/TT)</t>
  </si>
  <si>
    <t xml:space="preserve">  Месячная конверсия активной базы в installs</t>
  </si>
  <si>
    <t xml:space="preserve">0.5%/мес — с прямым CTA в каждом ролике</t>
  </si>
  <si>
    <t xml:space="preserve">  Усиление со 2-го квартала (CTA в роликах)</t>
  </si>
  <si>
    <t xml:space="preserve">x</t>
  </si>
  <si>
    <t xml:space="preserve">множитель к месячной конверсии после M3</t>
  </si>
  <si>
    <t xml:space="preserve">Канал 3: Реферальная программа (Morning Brew model)</t>
  </si>
  <si>
    <t xml:space="preserve">  Месяц запуска реферальной программы</t>
  </si>
  <si>
    <t xml:space="preserve">М</t>
  </si>
  <si>
    <t xml:space="preserve">M4 — после стабилизации MVP</t>
  </si>
  <si>
    <t xml:space="preserve">  K-фактор: средн. рефералов на 1 активного юзера / мес</t>
  </si>
  <si>
    <t xml:space="preserve">Morning Brew benchmark ~0.05–0.08</t>
  </si>
  <si>
    <t xml:space="preserve">  Конверсия приглашённых в install</t>
  </si>
  <si>
    <t xml:space="preserve">высокая — приходят по доверию</t>
  </si>
  <si>
    <t xml:space="preserve">Канал 4: Платный трафик (TG Ads + посевы)</t>
  </si>
  <si>
    <t xml:space="preserve">  CAC платного канала (1 install)</t>
  </si>
  <si>
    <t xml:space="preserve">₽</t>
  </si>
  <si>
    <t xml:space="preserve">цель стратегии · TG Ads + блогеры</t>
  </si>
  <si>
    <t xml:space="preserve">  Маркетинговый бюджет / мес (Q1)</t>
  </si>
  <si>
    <t xml:space="preserve">₽/мес</t>
  </si>
  <si>
    <t xml:space="preserve">разогрев, тесты</t>
  </si>
  <si>
    <t xml:space="preserve">  Маркетинговый бюджет / мес (Q2)</t>
  </si>
  <si>
    <t xml:space="preserve">push на 25K DAU</t>
  </si>
  <si>
    <t xml:space="preserve">  Маркетинговый бюджет / мес (Q3)</t>
  </si>
  <si>
    <t xml:space="preserve">органика берёт верх</t>
  </si>
  <si>
    <t xml:space="preserve">  Маркетинговый бюджет / мес (Q4)</t>
  </si>
  <si>
    <t xml:space="preserve">реинвест из выручки</t>
  </si>
  <si>
    <t xml:space="preserve">Канал 5: PR / earned media (выступления, СМИ, упоминания)</t>
  </si>
  <si>
    <t xml:space="preserve">  Installs/мес — старт</t>
  </si>
  <si>
    <t xml:space="preserve">чел/мес</t>
  </si>
  <si>
    <t xml:space="preserve">консервативно</t>
  </si>
  <si>
    <t xml:space="preserve">  Installs/мес — Q4</t>
  </si>
  <si>
    <t xml:space="preserve">репутация набирается</t>
  </si>
  <si>
    <t xml:space="preserve">  3. УДЕРЖАНИЕ И ВОВЛЕЧЕНИЕ</t>
  </si>
  <si>
    <t xml:space="preserve">Активация: install → 7-дневный active</t>
  </si>
  <si>
    <t xml:space="preserve">стандарт для daily media</t>
  </si>
  <si>
    <t xml:space="preserve">W4 retention (Q1 cohort)</t>
  </si>
  <si>
    <t xml:space="preserve">цель стратегии ≥30%</t>
  </si>
  <si>
    <t xml:space="preserve">W4 retention (Q2 cohort)</t>
  </si>
  <si>
    <t xml:space="preserve">цель ≥38% после улучшений</t>
  </si>
  <si>
    <t xml:space="preserve">W4 retention (Q3 cohort)</t>
  </si>
  <si>
    <t xml:space="preserve">AI-персонализация запущена</t>
  </si>
  <si>
    <t xml:space="preserve">W4 retention (Q4 cohort)</t>
  </si>
  <si>
    <t xml:space="preserve">зрелый продукт</t>
  </si>
  <si>
    <t xml:space="preserve">DAU/MAU ratio (Stickiness)</t>
  </si>
  <si>
    <t xml:space="preserve">daily-push news product, бенчмарк 0.40–0.60</t>
  </si>
  <si>
    <t xml:space="preserve">Калибровочный множитель MAU (sanity adjustment)</t>
  </si>
  <si>
    <t xml:space="preserve">default = 1.0, можно ужесточить до 0.80–0.90</t>
  </si>
  <si>
    <t xml:space="preserve">Долгосрочное удержание MAU (на 1 мес)</t>
  </si>
  <si>
    <t xml:space="preserve">10%/мес churn на engaged-юзеров после W4</t>
  </si>
  <si>
    <t xml:space="preserve">  4. PREMIUM — КОНВЕРСИЯ, ЦЕНЫ, ОТТОК</t>
  </si>
  <si>
    <t xml:space="preserve">ARPU — месячная подписка</t>
  </si>
  <si>
    <t xml:space="preserve">цель стратегии</t>
  </si>
  <si>
    <t xml:space="preserve">Скидка за годовую подписку</t>
  </si>
  <si>
    <t xml:space="preserve">12 600 ₽/год вместо 18 000</t>
  </si>
  <si>
    <t xml:space="preserve">Доля годовых подписок в новых продажах</t>
  </si>
  <si>
    <t xml:space="preserve">после M6</t>
  </si>
  <si>
    <t xml:space="preserve">Конверсия DAU → Paid (Q1, %/мес)</t>
  </si>
  <si>
    <t xml:space="preserve">0.1% — Premium ещё не запущен, ранние pre-orders</t>
  </si>
  <si>
    <t xml:space="preserve">Конверсия DAU → Paid (Q2, %/мес)</t>
  </si>
  <si>
    <t xml:space="preserve">0.2% — запуск Premium, gated-контент</t>
  </si>
  <si>
    <t xml:space="preserve">Конверсия DAU → Paid (Q3, %/мес)</t>
  </si>
  <si>
    <t xml:space="preserve">0.3% — AI-саммари + директория</t>
  </si>
  <si>
    <t xml:space="preserve">Конверсия DAU → Paid (Q4, %/мес)</t>
  </si>
  <si>
    <t xml:space="preserve">0.4% — зрелый продукт; бенчмарк Substack/Stratechery</t>
  </si>
  <si>
    <t xml:space="preserve">Месячный отток (Q1–Q2)</t>
  </si>
  <si>
    <t xml:space="preserve">8% — старт, ранние юзеры</t>
  </si>
  <si>
    <t xml:space="preserve">Месячный отток (Q3–Q4)</t>
  </si>
  <si>
    <t xml:space="preserve">6% — улучшенный onboarding</t>
  </si>
  <si>
    <t xml:space="preserve">  5. КОМАНДА — ОКЛАДЫ И ШТАТНОЕ РАСПИСАНИЕ</t>
  </si>
  <si>
    <t xml:space="preserve">Месячные оклады (gross, до налогов), 1 FTE</t>
  </si>
  <si>
    <t xml:space="preserve">Главный редактор</t>
  </si>
  <si>
    <t xml:space="preserve">уровень главреда РБК Pro/Forbes</t>
  </si>
  <si>
    <t xml:space="preserve">Журналист (1 FTE)</t>
  </si>
  <si>
    <t xml:space="preserve">опытный, в Москве</t>
  </si>
  <si>
    <t xml:space="preserve">Fullstack-инженер</t>
  </si>
  <si>
    <t xml:space="preserve">Next.js + Hono + Workers, мидл-сеньор</t>
  </si>
  <si>
    <t xml:space="preserve">Продуктовый дизайнер (фриланс 0.5 FTE)</t>
  </si>
  <si>
    <t xml:space="preserve">0.5 × 240K</t>
  </si>
  <si>
    <t xml:space="preserve">AI-инженер пайплайна (фриланс 0.5 FTE)</t>
  </si>
  <si>
    <t xml:space="preserve">0.5 × 300K</t>
  </si>
  <si>
    <t xml:space="preserve">SMM/рост (нанимаем с Q2)</t>
  </si>
  <si>
    <t xml:space="preserve">нанимаем M4</t>
  </si>
  <si>
    <t xml:space="preserve">Community-менеджер (с Q3)</t>
  </si>
  <si>
    <t xml:space="preserve">нанимаем M7 — клампы, события</t>
  </si>
  <si>
    <t xml:space="preserve">Налоги и сборы поверх ФОТ</t>
  </si>
  <si>
    <t xml:space="preserve">30% страховые + НДФЛ упрощённо</t>
  </si>
  <si>
    <t xml:space="preserve">  6. ИНФРАСТРУКТУРА И AI</t>
  </si>
  <si>
    <t xml:space="preserve">Базовая инфра (Cloudflare/Neon/Upstash/Vercel)</t>
  </si>
  <si>
    <t xml:space="preserve">до 10K DAU</t>
  </si>
  <si>
    <t xml:space="preserve">Доп. инфра на каждые 1K DAU сверх 10K</t>
  </si>
  <si>
    <t xml:space="preserve">масштабирование БД и CDN</t>
  </si>
  <si>
    <t xml:space="preserve">LLM-стоимость подготовки 1 материала</t>
  </si>
  <si>
    <t xml:space="preserve">YandexGPT-5 Pro, ~3K токенов</t>
  </si>
  <si>
    <t xml:space="preserve">Голосовое саммари — стоимость 1 мин</t>
  </si>
  <si>
    <t xml:space="preserve">SaluteSpeech TTS</t>
  </si>
  <si>
    <t xml:space="preserve">Материалов / мес (Q1)</t>
  </si>
  <si>
    <t xml:space="preserve">шт</t>
  </si>
  <si>
    <t xml:space="preserve">3 дайджеста × 30 дней</t>
  </si>
  <si>
    <t xml:space="preserve">Материалов / мес (Q4)</t>
  </si>
  <si>
    <t xml:space="preserve">AI-пайплайн + ручная редакция</t>
  </si>
  <si>
    <t xml:space="preserve">  7. СОБЫТИЯ И ПЕЧАТЬ</t>
  </si>
  <si>
    <t xml:space="preserve">Ивентов за год (бизнес-завтраки + Meet Up)</t>
  </si>
  <si>
    <t xml:space="preserve">шт/год</t>
  </si>
  <si>
    <t xml:space="preserve">1 в мес в среднем</t>
  </si>
  <si>
    <t xml:space="preserve">Средняя стоимость организации 1 ивента</t>
  </si>
  <si>
    <t xml:space="preserve">1.5М ₽ / 12</t>
  </si>
  <si>
    <t xml:space="preserve">Средняя выручка с 1 ивента (билеты + спонсоры)</t>
  </si>
  <si>
    <t xml:space="preserve">500 ₽/билет × 300 + спонсоры</t>
  </si>
  <si>
    <t xml:space="preserve">Стоимость 1 печати газеты-сувенира</t>
  </si>
  <si>
    <t xml:space="preserve">₽/кв</t>
  </si>
  <si>
    <t xml:space="preserve">типография + дизайн + распр.</t>
  </si>
  <si>
    <t xml:space="preserve">Кол-во квартальных тиражей</t>
  </si>
  <si>
    <t xml:space="preserve">раз в квартал</t>
  </si>
  <si>
    <t xml:space="preserve">  8. ПРОЧИЕ ЗАТРАТЫ И ФИНАНСИРОВАНИЕ</t>
  </si>
  <si>
    <t xml:space="preserve">Юр. сопровождение + бухгалтерия</t>
  </si>
  <si>
    <t xml:space="preserve">ИП на УСН + юр. консультант</t>
  </si>
  <si>
    <t xml:space="preserve">Прочие операционные (офис, ПО, командировки)</t>
  </si>
  <si>
    <t xml:space="preserve">буферный</t>
  </si>
  <si>
    <t xml:space="preserve">Стартовое финансирование от Х10</t>
  </si>
  <si>
    <t xml:space="preserve">6 мес операционки до выручки</t>
  </si>
  <si>
    <t xml:space="preserve">Комиссия эквайринга (YooKassa)</t>
  </si>
  <si>
    <t xml:space="preserve">2.9% от выручки Premium</t>
  </si>
  <si>
    <t xml:space="preserve">ВОРОНКА ПРИВЛЕЧЕНИЯ — каналы → DAU</t>
  </si>
  <si>
    <t xml:space="preserve">Q1</t>
  </si>
  <si>
    <t xml:space="preserve">Q2</t>
  </si>
  <si>
    <t xml:space="preserve">Q3</t>
  </si>
  <si>
    <t xml:space="preserve">Q4</t>
  </si>
  <si>
    <t xml:space="preserve">М1
июн '26</t>
  </si>
  <si>
    <t xml:space="preserve">М2
июл '26</t>
  </si>
  <si>
    <t xml:space="preserve">М3
авг '26</t>
  </si>
  <si>
    <t xml:space="preserve">М4
сен '26</t>
  </si>
  <si>
    <t xml:space="preserve">М5
окт '26</t>
  </si>
  <si>
    <t xml:space="preserve">М6
ноя '26</t>
  </si>
  <si>
    <t xml:space="preserve">М7
дек '26</t>
  </si>
  <si>
    <t xml:space="preserve">М8
янв '27</t>
  </si>
  <si>
    <t xml:space="preserve">М9
фев '27</t>
  </si>
  <si>
    <t xml:space="preserve">М10
мар '27</t>
  </si>
  <si>
    <t xml:space="preserve">М11
апр '27</t>
  </si>
  <si>
    <t xml:space="preserve">М12
май '27</t>
  </si>
  <si>
    <t xml:space="preserve">ИТОГО
год</t>
  </si>
  <si>
    <t xml:space="preserve">  A. УСТАНОВКИ ПО КАНАЛАМ (помесячно)</t>
  </si>
  <si>
    <t xml:space="preserve">Канал 1 · Х10 Community organic</t>
  </si>
  <si>
    <t xml:space="preserve">  установки/мес (Х10)</t>
  </si>
  <si>
    <t xml:space="preserve">Канал 2 · Рыбаков organic (TG/YT/IG/TT)</t>
  </si>
  <si>
    <t xml:space="preserve">  установки/мес (Рыбаков)</t>
  </si>
  <si>
    <t xml:space="preserve">Канал 3 · Платный трафик (TG Ads + посевы)</t>
  </si>
  <si>
    <t xml:space="preserve">  бюджет/мес</t>
  </si>
  <si>
    <t xml:space="preserve">  установки/мес (платно)</t>
  </si>
  <si>
    <t xml:space="preserve">Канал 4 · PR / earned media</t>
  </si>
  <si>
    <t xml:space="preserve">  установки/мес (PR)</t>
  </si>
  <si>
    <t xml:space="preserve">Канал 5 · Реферальная программа</t>
  </si>
  <si>
    <t xml:space="preserve">  установки/мес (рефералы)</t>
  </si>
  <si>
    <t xml:space="preserve">ВСЕГО УСТАНОВОК / МЕС</t>
  </si>
  <si>
    <t xml:space="preserve">  накопленные установки</t>
  </si>
  <si>
    <t xml:space="preserve">  B. MAU / DAU — модель удержания</t>
  </si>
  <si>
    <t xml:space="preserve">W4 retention (для текущего квартала)</t>
  </si>
  <si>
    <t xml:space="preserve">Долгосрочное удержание MAU/мес</t>
  </si>
  <si>
    <t xml:space="preserve">MAU (накопленная активная база)</t>
  </si>
  <si>
    <t xml:space="preserve">DAU (ежедневно активные)</t>
  </si>
  <si>
    <t xml:space="preserve">  C. СРАВНЕНИЕ С КВАРТАЛЬНЫМИ ЦЕЛЯМИ СТРАТЕГИИ</t>
  </si>
  <si>
    <t xml:space="preserve">Целевой DAU на конец квартала</t>
  </si>
  <si>
    <t xml:space="preserve">—</t>
  </si>
  <si>
    <t xml:space="preserve">Факт DAU на конец квартала (модель)</t>
  </si>
  <si>
    <t xml:space="preserve">Отклонение от цели</t>
  </si>
  <si>
    <t xml:space="preserve">Накопленные установки на конец квартала</t>
  </si>
  <si>
    <t xml:space="preserve">ДОХОДЫ — Premium-подписки, события, итого</t>
  </si>
  <si>
    <t xml:space="preserve">  A. PREMIUM — подписчики и MRR</t>
  </si>
  <si>
    <t xml:space="preserve">DAU (из листа Воронка)</t>
  </si>
  <si>
    <t xml:space="preserve">Конверсия DAU → Paid (для квартала)</t>
  </si>
  <si>
    <t xml:space="preserve">Новые Premium-подписчики / мес</t>
  </si>
  <si>
    <t xml:space="preserve">Месячный отток (для квартала)</t>
  </si>
  <si>
    <t xml:space="preserve">Отток подписчиков / мес</t>
  </si>
  <si>
    <t xml:space="preserve">Cumulative Premium-подписчики (на конец мес)</t>
  </si>
  <si>
    <t xml:space="preserve">ARPU blended (с учётом годовой скидки)</t>
  </si>
  <si>
    <t xml:space="preserve">MRR — Monthly Recurring Revenue</t>
  </si>
  <si>
    <t xml:space="preserve">ARR — Annual Recurring Revenue</t>
  </si>
  <si>
    <t xml:space="preserve">  B. PREMIUM ВЫРУЧКА — помесячная признаваемая</t>
  </si>
  <si>
    <t xml:space="preserve">Premium revenue (признано в месяце)</t>
  </si>
  <si>
    <t xml:space="preserve">  + аванс по годовым подпискам (для cashflow)</t>
  </si>
  <si>
    <t xml:space="preserve">  C. СОБЫТИЯ — выручка с ивентов</t>
  </si>
  <si>
    <t xml:space="preserve">Кол-во ивентов / мес</t>
  </si>
  <si>
    <t xml:space="preserve">Выручка с ивентов (билеты + спонсоры)</t>
  </si>
  <si>
    <t xml:space="preserve">  D. ИТОГО ВЫРУЧКА</t>
  </si>
  <si>
    <t xml:space="preserve">ВСЕГО признанной выручки / мес</t>
  </si>
  <si>
    <t xml:space="preserve">  накопленная выручка</t>
  </si>
  <si>
    <t xml:space="preserve">  E. СРАВНЕНИЕ С ЦЕЛЯМИ СТРАТЕГИИ (paid subs)</t>
  </si>
  <si>
    <t xml:space="preserve">Целевые paid subs (стратегия)</t>
  </si>
  <si>
    <t xml:space="preserve">Факт paid subs (модель)</t>
  </si>
  <si>
    <t xml:space="preserve">РАСХОДЫ — операционные затраты, помесячно</t>
  </si>
  <si>
    <t xml:space="preserve">  A. ФОТ — фонд оплаты труда (с налогами)</t>
  </si>
  <si>
    <t xml:space="preserve">Журналист 1</t>
  </si>
  <si>
    <t xml:space="preserve">Журналист 2</t>
  </si>
  <si>
    <t xml:space="preserve">Дизайнер (0.5 FTE)</t>
  </si>
  <si>
    <t xml:space="preserve">AI-инженер (0.5 FTE)</t>
  </si>
  <si>
    <t xml:space="preserve">SMM/рост (нанимаем M4)</t>
  </si>
  <si>
    <t xml:space="preserve">Community-менеджер (M7)</t>
  </si>
  <si>
    <t xml:space="preserve">  Итого окладов (gross, без налогов)</t>
  </si>
  <si>
    <t xml:space="preserve">  Налоги и сборы (страховые + НДФЛ-уплифт)</t>
  </si>
  <si>
    <t xml:space="preserve">ИТОГО ФОТ (с налогами)</t>
  </si>
  <si>
    <t xml:space="preserve">  B. ИНФРАСТРУКТУРА — хостинг, БД, CDN</t>
  </si>
  <si>
    <t xml:space="preserve">Переменная (per 1K DAU свыше 10K)</t>
  </si>
  <si>
    <t xml:space="preserve">ИТОГО Инфра</t>
  </si>
  <si>
    <t xml:space="preserve">  C. AI / LLM — стоимость контент-пайплайна</t>
  </si>
  <si>
    <t xml:space="preserve">Материалов / мес (ramp)</t>
  </si>
  <si>
    <t xml:space="preserve">LLM-стоимость контента</t>
  </si>
  <si>
    <t xml:space="preserve">Голосовые саммари (10% статей × 4 мин)</t>
  </si>
  <si>
    <t xml:space="preserve">ИТОГО AI / LLM</t>
  </si>
  <si>
    <t xml:space="preserve">  D. МАРКЕТИНГ — платное привлечение</t>
  </si>
  <si>
    <t xml:space="preserve">Платный трафик (бюджет из Воронки)</t>
  </si>
  <si>
    <t xml:space="preserve">Награды реферальной программы (200 ₽ / приглашение)</t>
  </si>
  <si>
    <t xml:space="preserve">ИТОГО Маркетинг</t>
  </si>
  <si>
    <t xml:space="preserve">  E. СОБЫТИЯ И ПЕЧАТЬ</t>
  </si>
  <si>
    <t xml:space="preserve">Стоимость организации ивентов (помесячно)</t>
  </si>
  <si>
    <t xml:space="preserve">Печать газеты-сувенира (1 раз в квартал)</t>
  </si>
  <si>
    <t xml:space="preserve">ИТОГО События + Печать</t>
  </si>
  <si>
    <t xml:space="preserve">  F. G&amp;A — юр / бух / прочие операционные</t>
  </si>
  <si>
    <t xml:space="preserve">Прочие (офис, ПО, командировки)</t>
  </si>
  <si>
    <t xml:space="preserve">Комиссия эквайринга на Premium</t>
  </si>
  <si>
    <t xml:space="preserve">ИТОГО G&amp;A</t>
  </si>
  <si>
    <t xml:space="preserve">  G. ИТОГО OPEX</t>
  </si>
  <si>
    <t xml:space="preserve">ВСЕГО OpEx / мес</t>
  </si>
  <si>
    <t xml:space="preserve">  накопленные расходы</t>
  </si>
  <si>
    <t xml:space="preserve">  H. СРАВНЕНИЕ С БЮДЖЕТОМ СТРАТЕГИИ</t>
  </si>
  <si>
    <t xml:space="preserve">Бюджет стратегии (24.2 М ₽ / год)</t>
  </si>
  <si>
    <t xml:space="preserve">Факт OpEx (модель) — год</t>
  </si>
  <si>
    <t xml:space="preserve">Отклонение от бюджета</t>
  </si>
  <si>
    <t xml:space="preserve">P&amp;L · ОПиУ — отчёт о прибылях и убытках</t>
  </si>
  <si>
    <t xml:space="preserve">  ВЫРУЧКА</t>
  </si>
  <si>
    <t xml:space="preserve">Premium-подписки (recognized)</t>
  </si>
  <si>
    <t xml:space="preserve">Выручка с ивентов</t>
  </si>
  <si>
    <t xml:space="preserve">ИТОГО ВЫРУЧКА</t>
  </si>
  <si>
    <t xml:space="preserve">  COGS — прямые затраты</t>
  </si>
  <si>
    <t xml:space="preserve">Инфраструктура</t>
  </si>
  <si>
    <t xml:space="preserve">AI / LLM</t>
  </si>
  <si>
    <t xml:space="preserve">Эквайринг</t>
  </si>
  <si>
    <t xml:space="preserve">ИТОГО COGS</t>
  </si>
  <si>
    <t xml:space="preserve">GROSS PROFIT (валовая прибыль)</t>
  </si>
  <si>
    <t xml:space="preserve">  Gross Margin %</t>
  </si>
  <si>
    <t xml:space="preserve">  OPEX (косвенные затраты)</t>
  </si>
  <si>
    <t xml:space="preserve">ФОТ (с налогами)</t>
  </si>
  <si>
    <t xml:space="preserve">Маркетинг</t>
  </si>
  <si>
    <t xml:space="preserve">События + Печать</t>
  </si>
  <si>
    <t xml:space="preserve">G&amp;A (юр/бух/прочие)</t>
  </si>
  <si>
    <t xml:space="preserve">ИТОГО OpEx</t>
  </si>
  <si>
    <t xml:space="preserve">EBITDA</t>
  </si>
  <si>
    <t xml:space="preserve">  EBITDA margin %</t>
  </si>
  <si>
    <t xml:space="preserve">Накопленная EBITDA (отслеживание break-even)</t>
  </si>
  <si>
    <t xml:space="preserve">Месяц достижения месячной безубыточности (EBITDA ≥ 0)</t>
  </si>
  <si>
    <t xml:space="preserve">CASHFLOW · ДДС — движение денежных средств</t>
  </si>
  <si>
    <t xml:space="preserve">Остаток на начало месяца</t>
  </si>
  <si>
    <t xml:space="preserve">  ПОСТУПЛЕНИЯ</t>
  </si>
  <si>
    <t xml:space="preserve">Premium-подписки (cash from monthly billing)</t>
  </si>
  <si>
    <t xml:space="preserve">Аванс по годовым подпискам (upfront)</t>
  </si>
  <si>
    <t xml:space="preserve">Стартовое финансирование Х10</t>
  </si>
  <si>
    <t xml:space="preserve">ИТОГО ПОСТУПЛЕНИЯ</t>
  </si>
  <si>
    <t xml:space="preserve">  ВЫПЛАТЫ</t>
  </si>
  <si>
    <t xml:space="preserve">Полные операционные расходы</t>
  </si>
  <si>
    <t xml:space="preserve">ИТОГО ВЫПЛАТЫ</t>
  </si>
  <si>
    <t xml:space="preserve">Net cashflow за месяц</t>
  </si>
  <si>
    <t xml:space="preserve">Остаток на конец месяца</t>
  </si>
  <si>
    <t xml:space="preserve">Месяц исчерпания средств (если cash &lt; 0)</t>
  </si>
  <si>
    <t xml:space="preserve">Минимальный остаток за период</t>
  </si>
  <si>
    <t xml:space="preserve">Доп. финансирование, требуемое для М12 (если &lt; 0)</t>
  </si>
  <si>
    <t xml:space="preserve">ЮНИТ-ЭКОНОМИКА — CAC, LTV, payback, contribution margin</t>
  </si>
  <si>
    <t xml:space="preserve">  A. CAC — стоимость привлечения</t>
  </si>
  <si>
    <t xml:space="preserve">CAC mini-app (платный канал)</t>
  </si>
  <si>
    <t xml:space="preserve">  ориентир стратегии (≤150 ₽)</t>
  </si>
  <si>
    <t xml:space="preserve">Маркетинговые расходы / мес</t>
  </si>
  <si>
    <t xml:space="preserve">CAC Premium (blended, all-in)</t>
  </si>
  <si>
    <t xml:space="preserve">  ориентир стратегии (≤1 800 ₽)</t>
  </si>
  <si>
    <t xml:space="preserve">  B. LTV — пожизненная ценность</t>
  </si>
  <si>
    <t xml:space="preserve">ARPU blended (₽/мес)</t>
  </si>
  <si>
    <t xml:space="preserve">Средний lifetime подписчика (мес)</t>
  </si>
  <si>
    <t xml:space="preserve">Gross margin на Premium</t>
  </si>
  <si>
    <t xml:space="preserve">LTV (ARPU × lifetime × GM)</t>
  </si>
  <si>
    <t xml:space="preserve">  ориентир стратегии (~19 000 ₽)</t>
  </si>
  <si>
    <t xml:space="preserve">  C. LTV / CAC RATIO</t>
  </si>
  <si>
    <t xml:space="preserve">LTV / CAC Premium</t>
  </si>
  <si>
    <t xml:space="preserve">  ориентир стратегии (≈10x)</t>
  </si>
  <si>
    <t xml:space="preserve">  D. PAYBACK PERIOD — окупаемость CAC</t>
  </si>
  <si>
    <t xml:space="preserve">Месячная contribution margin / подписчик</t>
  </si>
  <si>
    <t xml:space="preserve">Payback period (мес)</t>
  </si>
  <si>
    <t xml:space="preserve">  E. КЛЮЧЕВЫЕ ЦИФРЫ НА КОНЕЦ ГОДА (M12)</t>
  </si>
  <si>
    <t xml:space="preserve">Cumulative installs (12 мес)</t>
  </si>
  <si>
    <t xml:space="preserve">Cumulative new paid subs</t>
  </si>
  <si>
    <t xml:space="preserve">Cumulative paid subs (stock M12)</t>
  </si>
  <si>
    <t xml:space="preserve">MRR M12 (₽/мес)</t>
  </si>
  <si>
    <t xml:space="preserve">ARR M12 (₽/год)</t>
  </si>
  <si>
    <t xml:space="preserve">Маркетинг за год (₽)</t>
  </si>
  <si>
    <t xml:space="preserve">CAC Premium год средний (₽)</t>
  </si>
  <si>
    <t xml:space="preserve">LTV / CAC год M12</t>
  </si>
  <si>
    <t xml:space="preserve">СЦЕНАРИИ — Bear / Base / Bull</t>
  </si>
  <si>
    <t xml:space="preserve">Три варианта развития событий при разных уровнях ключевых рычагов</t>
  </si>
  <si>
    <t xml:space="preserve">BEAR</t>
  </si>
  <si>
    <t xml:space="preserve">BASE (модель)</t>
  </si>
  <si>
    <t xml:space="preserve">BULL</t>
  </si>
  <si>
    <t xml:space="preserve">Комментарий</t>
  </si>
  <si>
    <t xml:space="preserve">  ОПИСАНИЕ</t>
  </si>
  <si>
    <t xml:space="preserve">Что произошло</t>
  </si>
  <si>
    <t xml:space="preserve">Рыбаков снизил активность, инфобиз-стигма прилипла, отток выше ожидаемого</t>
  </si>
  <si>
    <t xml:space="preserve">Стратегия исполняется как задумано, реалистичные конверсии и retention</t>
  </si>
  <si>
    <t xml:space="preserve">Рыбаков давит CTA в каждом ролике, AI-персонализация выстрелила, viral growth</t>
  </si>
  <si>
    <t xml:space="preserve">Вероятность</t>
  </si>
  <si>
    <t xml:space="preserve">20%</t>
  </si>
  <si>
    <t xml:space="preserve">55%</t>
  </si>
  <si>
    <t xml:space="preserve">25%</t>
  </si>
  <si>
    <t xml:space="preserve">  КЛЮЧЕВЫЕ РЫЧАГИ (предпосылки)</t>
  </si>
  <si>
    <t xml:space="preserve">Конверсия Рыбаков organic (%/мес)</t>
  </si>
  <si>
    <t xml:space="preserve">Bull: прямой CTA в каждом ролике + посевы</t>
  </si>
  <si>
    <t xml:space="preserve">DAU/MAU stickiness</t>
  </si>
  <si>
    <t xml:space="preserve">Bull: ежедневный push в 7:00 + AI feed</t>
  </si>
  <si>
    <t xml:space="preserve">Конверсия DAU → Paid Q4 (%/мес)</t>
  </si>
  <si>
    <t xml:space="preserve">Bull НЕ выше базы — это % steady-state, не темп</t>
  </si>
  <si>
    <t xml:space="preserve">W4 retention Q4</t>
  </si>
  <si>
    <t xml:space="preserve">Bull: персонализация работает, daily habit сложен</t>
  </si>
  <si>
    <t xml:space="preserve">Месячный отток paid (Q3-Q4)</t>
  </si>
  <si>
    <t xml:space="preserve">Bull: годовые подписки, retention loops</t>
  </si>
  <si>
    <t xml:space="preserve">ARPU effective (с учётом скидок)</t>
  </si>
  <si>
    <t xml:space="preserve">Bull: меньше скидок, выше доля premium tier</t>
  </si>
  <si>
    <t xml:space="preserve">Маркетинг за год (М ₽)</t>
  </si>
  <si>
    <t xml:space="preserve">Bull: масштабирование платных каналов</t>
  </si>
  <si>
    <t xml:space="preserve">  РАСЧЁТНЫЕ РЕЗУЛЬТАТЫ (приближение, M12)</t>
  </si>
  <si>
    <t xml:space="preserve">DAU на M12 (приближение)</t>
  </si>
  <si>
    <t xml:space="preserve">Цель стратегии Q4: 80 000 DAU</t>
  </si>
  <si>
    <t xml:space="preserve">Paid subs на M12 (приближение)</t>
  </si>
  <si>
    <t xml:space="preserve">Цель стратегии Q4: 2 000 paid</t>
  </si>
  <si>
    <t xml:space="preserve">ARR на M12 (₽/год)</t>
  </si>
  <si>
    <t xml:space="preserve">Цель стратегии: ~36 М ₽ ARR</t>
  </si>
  <si>
    <t xml:space="preserve">LTV / CAC</t>
  </si>
  <si>
    <t xml:space="preserve">Цель стратегии: ≈10x</t>
  </si>
  <si>
    <t xml:space="preserve">Год EBITDA (М ₽, приближение)</t>
  </si>
  <si>
    <t xml:space="preserve">Bear: глубокий минус. Bull: близко к 0.</t>
  </si>
  <si>
    <t xml:space="preserve">Доп. капитал требуется (М ₽)</t>
  </si>
  <si>
    <t xml:space="preserve">При стартовом капитале 12 М ₽</t>
  </si>
  <si>
    <t xml:space="preserve">  СТРАТЕГИЧЕСКИЕ ВЫВОДЫ</t>
  </si>
  <si>
    <t xml:space="preserve">Bear</t>
  </si>
  <si>
    <t xml:space="preserve">Срочно пересобираем продукт: цена Premium вдвое (690 ₽), audio-first дайджест, агрессивный pivot.</t>
  </si>
  <si>
    <t xml:space="preserve">Base</t>
  </si>
  <si>
    <t xml:space="preserve">Гэп от целей стратегии: -70% DAU, -80% paid. Нужно: или больше Рыбакова, или 10-15М ₽ доп. финансирования к M5.</t>
  </si>
  <si>
    <t xml:space="preserve">Bull</t>
  </si>
  <si>
    <t xml:space="preserve">Близко к целям стратегии. Достижимо ТОЛЬКО при максимальном CTA-режиме у Рыбакова + AI-персонализация работает.</t>
  </si>
  <si>
    <t xml:space="preserve">DASHBOARD — ключевые KPI</t>
  </si>
  <si>
    <t xml:space="preserve">Базовый сценарий · обновляется при изменении входов в Допущениях</t>
  </si>
  <si>
    <t xml:space="preserve">DAU · M12</t>
  </si>
  <si>
    <t xml:space="preserve">PREMIUM PAID · M12</t>
  </si>
  <si>
    <t xml:space="preserve">MRR · M12</t>
  </si>
  <si>
    <t xml:space="preserve">ARR · M12</t>
  </si>
  <si>
    <t xml:space="preserve">EBITDA · ГОД</t>
  </si>
  <si>
    <t xml:space="preserve">CASH · M12</t>
  </si>
  <si>
    <t xml:space="preserve">цель стратегии: 80 000</t>
  </si>
  <si>
    <t xml:space="preserve">цель стратегии: 2 000</t>
  </si>
  <si>
    <t xml:space="preserve">monthly recurring revenue</t>
  </si>
  <si>
    <t xml:space="preserve">цель стратегии: ~36 М ₽</t>
  </si>
  <si>
    <t xml:space="preserve">год нарастающим</t>
  </si>
  <si>
    <t xml:space="preserve">остаток на конец периода</t>
  </si>
  <si>
    <t xml:space="preserve">ВЫРУЧКА · ГОД</t>
  </si>
  <si>
    <t xml:space="preserve">OPEX · ГОД</t>
  </si>
  <si>
    <t xml:space="preserve">GROSS MARGIN</t>
  </si>
  <si>
    <t xml:space="preserve">PAYBACK PERIOD</t>
  </si>
  <si>
    <t xml:space="preserve">ДОП. КАПИТАЛ НУЖЕН</t>
  </si>
  <si>
    <t xml:space="preserve">premium + события</t>
  </si>
  <si>
    <t xml:space="preserve">vs бюджет 24.2 М ₽</t>
  </si>
  <si>
    <t xml:space="preserve">цель: 80–90%</t>
  </si>
  <si>
    <t xml:space="preserve">цель стратегии: ≈10x</t>
  </si>
  <si>
    <t xml:space="preserve">цель: ≤ 6 мес</t>
  </si>
  <si>
    <t xml:space="preserve">если cash идёт в минус</t>
  </si>
  <si>
    <t xml:space="preserve">ГРАФИКИ — траектории по основным метрикам</t>
  </si>
  <si>
    <t xml:space="preserve">Источники данных для графиков (служебные ячейки ниже)</t>
  </si>
  <si>
    <t xml:space="preserve">Месяц</t>
  </si>
  <si>
    <t xml:space="preserve">DAU</t>
  </si>
  <si>
    <t xml:space="preserve">Цель DAU</t>
  </si>
  <si>
    <t xml:space="preserve">Paid</t>
  </si>
  <si>
    <t xml:space="preserve">Цель Paid</t>
  </si>
  <si>
    <t xml:space="preserve">MRR</t>
  </si>
  <si>
    <t xml:space="preserve">Cash</t>
  </si>
  <si>
    <t xml:space="preserve">Накопл. EBITDA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</si>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</sst>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[RED]\(#,##0\);\-"/>
    <numFmt numFmtId="166" formatCode="0.0%;[RED]\(0.0%\);\-"/>
    <numFmt numFmtId="167" formatCode="0.00\x"/>
    <numFmt numFmtId="168" formatCode="0.0&quot; мес&quot;"/>
    <numFmt numFmtId="169" formatCode="#,##0.0;[RED]\(#,##0.0\);\-"/>
    <numFmt numFmtId="170" formatCode="#,##0"/>
    <numFmt numFmtId="171" formatCode="#,##0&quot; ₽&quot;"/>
    <numFmt numFmtId="172" formatCode="#,##0&quot; ₽&quot;;[RED]\(#,##0&quot; ₽)&quot;"/>
    <numFmt numFmtId="173" formatCode="0.0%"/>
    <numFmt numFmtId="174" formatCode="0.0\x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E63946"/>
      <name val="Calibri"/>
      <family val="0"/>
      <charset val="1"/>
    </font>
    <font>
      <sz val="14"/>
      <color rgb="FF1F2937"/>
      <name val="Calibri"/>
      <family val="0"/>
      <charset val="1"/>
    </font>
    <font>
      <i val="true"/>
      <sz val="10"/>
      <color rgb="FF6B6B73"/>
      <name val="Calibri"/>
      <family val="0"/>
      <charset val="1"/>
    </font>
    <font>
      <b val="true"/>
      <sz val="11"/>
      <color rgb="FFD4A24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E63946"/>
      <name val="Calibri"/>
      <family val="0"/>
      <charset val="1"/>
    </font>
    <font>
      <sz val="10"/>
      <color rgb="FF0F0F12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F0F12"/>
      <name val="Calibri"/>
      <family val="0"/>
      <charset val="1"/>
    </font>
    <font>
      <i val="true"/>
      <sz val="9"/>
      <color rgb="FF6B6B73"/>
      <name val="Calibri"/>
      <family val="0"/>
      <charset val="1"/>
    </font>
    <font>
      <b val="true"/>
      <sz val="18"/>
      <color rgb="FF1F2937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0F0F12"/>
      <name val="Calibri"/>
      <family val="0"/>
      <charset val="1"/>
    </font>
    <font>
      <b val="true"/>
      <i val="true"/>
      <sz val="10"/>
      <color rgb="FF0F0F12"/>
      <name val="Calibri"/>
      <family val="0"/>
      <charset val="1"/>
    </font>
    <font>
      <sz val="10"/>
      <name val="Arial"/>
      <family val="2"/>
    </font>
    <font>
      <b val="true"/>
      <sz val="16"/>
      <color rgb="FF1F2937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i val="true"/>
      <sz val="10"/>
      <color rgb="FF0F0F12"/>
      <name val="Calibri"/>
      <family val="0"/>
      <charset val="1"/>
    </font>
    <font>
      <sz val="10"/>
      <color rgb="FF6B6B7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20"/>
      <color rgb="FFE63946"/>
      <name val="Calibri"/>
      <family val="0"/>
      <charset val="1"/>
    </font>
    <font>
      <b val="true"/>
      <sz val="9"/>
      <color rgb="FF6B6B73"/>
      <name val="Calibri"/>
      <family val="0"/>
      <charset val="1"/>
    </font>
    <font>
      <b val="true"/>
      <sz val="20"/>
      <color rgb="FF1F2937"/>
      <name val="Calibri"/>
      <family val="0"/>
      <charset val="1"/>
    </font>
    <font>
      <i val="true"/>
      <sz val="8"/>
      <color rgb="FF6B6B7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B0B0E"/>
        <bgColor rgb="FF0F0F12"/>
      </patternFill>
    </fill>
    <fill>
      <patternFill patternType="solid">
        <fgColor rgb="FFE63946"/>
        <bgColor rgb="FFDC2626"/>
      </patternFill>
    </fill>
    <fill>
      <patternFill patternType="solid">
        <fgColor rgb="FFFFE082"/>
        <bgColor rgb="FFFFFF99"/>
      </patternFill>
    </fill>
    <fill>
      <patternFill patternType="solid">
        <fgColor rgb="FF1F2937"/>
        <bgColor rgb="FF003366"/>
      </patternFill>
    </fill>
    <fill>
      <patternFill patternType="solid">
        <fgColor rgb="FFD4A24C"/>
        <bgColor rgb="FFFF8080"/>
      </patternFill>
    </fill>
    <fill>
      <patternFill patternType="solid">
        <fgColor rgb="FF3FB950"/>
        <bgColor rgb="FF33CCCC"/>
      </patternFill>
    </fill>
    <fill>
      <patternFill patternType="solid">
        <fgColor rgb="FFFAFAF7"/>
        <bgColor rgb="FFFFFFFF"/>
      </patternFill>
    </fill>
    <fill>
      <patternFill patternType="solid">
        <fgColor rgb="FFDC2626"/>
        <bgColor rgb="FFE6394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E63946"/>
      </top>
      <bottom/>
      <diagonal/>
    </border>
    <border diagonalUp="false" diagonalDown="false">
      <left/>
      <right/>
      <top/>
      <bottom style="thin">
        <color rgb="FFE5E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33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33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33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33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4" fontId="33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33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AFA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2DA"/>
      <rgbColor rgb="FFFFFF99"/>
      <rgbColor rgb="FF99CCFF"/>
      <rgbColor rgb="FFFF99CC"/>
      <rgbColor rgb="FFCC99FF"/>
      <rgbColor rgb="FFFFE082"/>
      <rgbColor rgb="FF4A7EBB"/>
      <rgbColor rgb="FF33CCCC"/>
      <rgbColor rgb="FF99CC00"/>
      <rgbColor rgb="FFFFCC00"/>
      <rgbColor rgb="FFD4A24C"/>
      <rgbColor rgb="FFFF6600"/>
      <rgbColor rgb="FF6B6B73"/>
      <rgbColor rgb="FF969696"/>
      <rgbColor rgb="FF003366"/>
      <rgbColor rgb="FF3FB950"/>
      <rgbColor rgb="FF0F0F12"/>
      <rgbColor rgb="FF0B0B0E"/>
      <rgbColor rgb="FF993300"/>
      <rgbColor rgb="FFE6394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DAU — траектория vs план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Dashboard!B50</c:f>
              <c:strCache>
                <c:ptCount val="1"/>
                <c:pt idx="0">
                  <c:v>DAU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Dashboard!$B$51:$B$62</c:f>
              <c:numCache>
                <c:formatCode>#,##0;[RED]\(#,##0\);\-</c:formatCode>
                <c:ptCount val="12"/>
                <c:pt idx="0">
                  <c:v>2130.7554</c:v>
                </c:pt>
                <c:pt idx="1">
                  <c:v>4065.45344181818</c:v>
                </c:pt>
                <c:pt idx="2">
                  <c:v>5823.69986127273</c:v>
                </c:pt>
                <c:pt idx="3">
                  <c:v>8547.96220552927</c:v>
                </c:pt>
                <c:pt idx="4">
                  <c:v>11036.5709213223</c:v>
                </c:pt>
                <c:pt idx="5">
                  <c:v>13311.6585974372</c:v>
                </c:pt>
                <c:pt idx="6">
                  <c:v>15411.5138752864</c:v>
                </c:pt>
                <c:pt idx="7">
                  <c:v>17337.8310164543</c:v>
                </c:pt>
                <c:pt idx="8">
                  <c:v>19106.7976583303</c:v>
                </c:pt>
                <c:pt idx="9">
                  <c:v>20847.3513492736</c:v>
                </c:pt>
                <c:pt idx="10">
                  <c:v>22450.3134758792</c:v>
                </c:pt>
                <c:pt idx="11">
                  <c:v>23928.4525353176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Dashboard!C50</c:f>
              <c:strCache>
                <c:ptCount val="1"/>
                <c:pt idx="0">
                  <c:v>Цель DAU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Dashboard!$C$51:$C$62</c:f>
              <c:numCache>
                <c:formatCode>#,##0;[RED]\(#,##0\);\-</c:formatCode>
                <c:ptCount val="12"/>
                <c:pt idx="0">
                  <c:v>1666</c:v>
                </c:pt>
                <c:pt idx="1">
                  <c:v>3333</c:v>
                </c:pt>
                <c:pt idx="2">
                  <c:v>5000</c:v>
                </c:pt>
                <c:pt idx="3">
                  <c:v>11666</c:v>
                </c:pt>
                <c:pt idx="4">
                  <c:v>18333</c:v>
                </c:pt>
                <c:pt idx="5">
                  <c:v>25000</c:v>
                </c:pt>
                <c:pt idx="6">
                  <c:v>33333</c:v>
                </c:pt>
                <c:pt idx="7">
                  <c:v>41666</c:v>
                </c:pt>
                <c:pt idx="8">
                  <c:v>50000</c:v>
                </c:pt>
                <c:pt idx="9">
                  <c:v>60000</c:v>
                </c:pt>
                <c:pt idx="10">
                  <c:v>70000</c:v>
                </c:pt>
                <c:pt idx="11">
                  <c:v>80000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884939"/>
        <c:axId val="36842411"/>
      </c:lineChart>
      <c:catAx>
        <c:axId val="778849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42411"/>
        <c:crosses val="autoZero"/>
        <c:auto val="1"/>
        <c:lblAlgn val="ctr"/>
        <c:lblOffset val="100"/>
        <c:noMultiLvlLbl val="0"/>
      </c:catAx>
      <c:valAx>
        <c:axId val="36842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Пользователи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84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Premium paid — траектория vs план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Dashboard!D50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Dashboard!$D$51:$D$62</c:f>
              <c:numCache>
                <c:formatCode>#,##0;[RED]\(#,##0\);\-</c:formatCode>
                <c:ptCount val="12"/>
                <c:pt idx="0">
                  <c:v>2.1307554</c:v>
                </c:pt>
                <c:pt idx="1">
                  <c:v>6.02574840981818</c:v>
                </c:pt>
                <c:pt idx="2">
                  <c:v>11.3673883983055</c:v>
                </c:pt>
                <c:pt idx="3">
                  <c:v>27.5539217374996</c:v>
                </c:pt>
                <c:pt idx="4">
                  <c:v>47.4227498411442</c:v>
                </c:pt>
                <c:pt idx="5">
                  <c:v>70.2522470487271</c:v>
                </c:pt>
                <c:pt idx="6">
                  <c:v>112.271653851663</c:v>
                </c:pt>
                <c:pt idx="7">
                  <c:v>157.548847669926</c:v>
                </c:pt>
                <c:pt idx="8">
                  <c:v>205.416309784721</c:v>
                </c:pt>
                <c:pt idx="9">
                  <c:v>276.480736594732</c:v>
                </c:pt>
                <c:pt idx="10">
                  <c:v>349.693146302565</c:v>
                </c:pt>
                <c:pt idx="11">
                  <c:v>424.425367665682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Dashboard!E50</c:f>
              <c:strCache>
                <c:ptCount val="1"/>
                <c:pt idx="0">
                  <c:v>Цель Paid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Dashboard!$E$51:$E$62</c:f>
              <c:numCache>
                <c:formatCode>#,##0;[RED]\(#,##0\);\-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167</c:v>
                </c:pt>
                <c:pt idx="4">
                  <c:v>333</c:v>
                </c:pt>
                <c:pt idx="5">
                  <c:v>500</c:v>
                </c:pt>
                <c:pt idx="6">
                  <c:v>733</c:v>
                </c:pt>
                <c:pt idx="7">
                  <c:v>967</c:v>
                </c:pt>
                <c:pt idx="8">
                  <c:v>1200</c:v>
                </c:pt>
                <c:pt idx="9">
                  <c:v>1467</c:v>
                </c:pt>
                <c:pt idx="10">
                  <c:v>1733</c:v>
                </c:pt>
                <c:pt idx="11">
                  <c:v>2000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616537"/>
        <c:axId val="45790770"/>
      </c:lineChart>
      <c:catAx>
        <c:axId val="606165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90770"/>
        <c:crosses val="autoZero"/>
        <c:auto val="1"/>
        <c:lblAlgn val="ctr"/>
        <c:lblOffset val="100"/>
        <c:noMultiLvlLbl val="0"/>
      </c:catAx>
      <c:valAx>
        <c:axId val="45790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Подписчики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16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— ежемесячная выручка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Dashboard!F50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Dashboard!$F$51:$F$62</c:f>
              <c:numCache>
                <c:formatCode>#,##0;[RED]\(#,##0\);\-</c:formatCode>
                <c:ptCount val="12"/>
                <c:pt idx="0">
                  <c:v>2908.481121</c:v>
                </c:pt>
                <c:pt idx="1">
                  <c:v>8225.14657940182</c:v>
                </c:pt>
                <c:pt idx="2">
                  <c:v>15516.485163687</c:v>
                </c:pt>
                <c:pt idx="3">
                  <c:v>37611.1031716869</c:v>
                </c:pt>
                <c:pt idx="4">
                  <c:v>64732.0535331619</c:v>
                </c:pt>
                <c:pt idx="5">
                  <c:v>95894.3172215125</c:v>
                </c:pt>
                <c:pt idx="6">
                  <c:v>153250.80750752</c:v>
                </c:pt>
                <c:pt idx="7">
                  <c:v>215054.177069449</c:v>
                </c:pt>
                <c:pt idx="8">
                  <c:v>280393.262856144</c:v>
                </c:pt>
                <c:pt idx="9">
                  <c:v>377396.20545181</c:v>
                </c:pt>
                <c:pt idx="10">
                  <c:v>477331.144703002</c:v>
                </c:pt>
                <c:pt idx="11">
                  <c:v>579340.626863656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238821"/>
        <c:axId val="98985504"/>
      </c:lineChart>
      <c:catAx>
        <c:axId val="53238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85504"/>
        <c:crosses val="autoZero"/>
        <c:auto val="1"/>
        <c:lblAlgn val="ctr"/>
        <c:lblOffset val="100"/>
        <c:noMultiLvlLbl val="0"/>
      </c:catAx>
      <c:valAx>
        <c:axId val="98985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₽ / мес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388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и накопленная EBITDA — burn tracker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Dashboard!G50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Dashboard!$G$51:$G$62</c:f>
              <c:numCache>
                <c:formatCode>#,##0;[RED]\(#,##0\);\-</c:formatCode>
                <c:ptCount val="12"/>
                <c:pt idx="0">
                  <c:v>10038637.8462442</c:v>
                </c:pt>
                <c:pt idx="1">
                  <c:v>8088737.98348935</c:v>
                </c:pt>
                <c:pt idx="2">
                  <c:v>6006623.08914753</c:v>
                </c:pt>
                <c:pt idx="3">
                  <c:v>3773321.03403616</c:v>
                </c:pt>
                <c:pt idx="4">
                  <c:v>1562291.62483845</c:v>
                </c:pt>
                <c:pt idx="5">
                  <c:v>-823790.829503698</c:v>
                </c:pt>
                <c:pt idx="6">
                  <c:v>-2949999.81832838</c:v>
                </c:pt>
                <c:pt idx="7">
                  <c:v>-4959184.75521204</c:v>
                </c:pt>
                <c:pt idx="8">
                  <c:v>-7158080.63970292</c:v>
                </c:pt>
                <c:pt idx="9">
                  <c:v>-8939810.13424516</c:v>
                </c:pt>
                <c:pt idx="10">
                  <c:v>-10562413.5835358</c:v>
                </c:pt>
                <c:pt idx="11">
                  <c:v>-12334431.2544186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Dashboard!H50</c:f>
              <c:strCache>
                <c:ptCount val="1"/>
                <c:pt idx="0">
                  <c:v>Накопл. EBITDA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Dashboard!$A$51:$A$62</c:f>
              <c:strCache>
                <c:ptCount val="12"/>
                <c:pt idx="0">
                  <c:v>М1</c:v>
                </c:pt>
                <c:pt idx="1">
                  <c:v>М2</c:v>
                </c:pt>
                <c:pt idx="2">
                  <c:v>М3</c:v>
                </c:pt>
                <c:pt idx="3">
                  <c:v>М4</c:v>
                </c:pt>
                <c:pt idx="4">
                  <c:v>М5</c:v>
                </c:pt>
                <c:pt idx="5">
                  <c:v>М6</c:v>
                </c:pt>
                <c:pt idx="6">
                  <c:v>М7</c:v>
                </c:pt>
                <c:pt idx="7">
                  <c:v>М8</c:v>
                </c:pt>
                <c:pt idx="8">
                  <c:v>М9</c:v>
                </c:pt>
                <c:pt idx="9">
                  <c:v>М10</c:v>
                </c:pt>
                <c:pt idx="10">
                  <c:v>М11</c:v>
                </c:pt>
                <c:pt idx="11">
                  <c:v>М12</c:v>
                </c:pt>
              </c:strCache>
            </c:strRef>
          </c:cat>
          <c:val>
            <c:numRef>
              <c:f>Dashboard!$H$51:$H$62</c:f>
              <c:numCache>
                <c:formatCode>#,##0;[RED]\(#,##0\);\-</c:formatCode>
                <c:ptCount val="12"/>
                <c:pt idx="0">
                  <c:v>-1968543.86483151</c:v>
                </c:pt>
                <c:pt idx="1">
                  <c:v>-3932146.338412</c:v>
                </c:pt>
                <c:pt idx="2">
                  <c:v>-6033890.01313624</c:v>
                </c:pt>
                <c:pt idx="3">
                  <c:v>-8324813.88147508</c:v>
                </c:pt>
                <c:pt idx="4">
                  <c:v>-10610240.8152534</c:v>
                </c:pt>
                <c:pt idx="5">
                  <c:v>-13086057.1602009</c:v>
                </c:pt>
                <c:pt idx="6">
                  <c:v>-15368099.6715755</c:v>
                </c:pt>
                <c:pt idx="7">
                  <c:v>-17552596.0867821</c:v>
                </c:pt>
                <c:pt idx="8">
                  <c:v>-19944690.3557952</c:v>
                </c:pt>
                <c:pt idx="9">
                  <c:v>-22007483.8412283</c:v>
                </c:pt>
                <c:pt idx="10">
                  <c:v>-23932762.4168007</c:v>
                </c:pt>
                <c:pt idx="11">
                  <c:v>-26027383.4847647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678426"/>
        <c:axId val="46719634"/>
      </c:lineChart>
      <c:catAx>
        <c:axId val="246784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19634"/>
        <c:crosses val="autoZero"/>
        <c:auto val="1"/>
        <c:lblAlgn val="ctr"/>
        <c:lblOffset val="100"/>
        <c:noMultiLvlLbl val="0"/>
      </c:catAx>
      <c:valAx>
        <c:axId val="46719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78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4</xdr:col>
      <xdr:colOff>558720</xdr:colOff>
      <xdr:row>29</xdr:row>
      <xdr:rowOff>1080</xdr:rowOff>
    </xdr:to>
    <xdr:graphicFrame>
      <xdr:nvGraphicFramePr>
        <xdr:cNvPr id="0" name="Chart 1"/>
        <xdr:cNvGraphicFramePr/>
      </xdr:nvGraphicFramePr>
      <xdr:xfrm>
        <a:off x="0" y="3505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12</xdr:row>
      <xdr:rowOff>0</xdr:rowOff>
    </xdr:from>
    <xdr:to>
      <xdr:col>9</xdr:col>
      <xdr:colOff>204480</xdr:colOff>
      <xdr:row>29</xdr:row>
      <xdr:rowOff>1080</xdr:rowOff>
    </xdr:to>
    <xdr:graphicFrame>
      <xdr:nvGraphicFramePr>
        <xdr:cNvPr id="1" name="Chart 2"/>
        <xdr:cNvGraphicFramePr/>
      </xdr:nvGraphicFramePr>
      <xdr:xfrm>
        <a:off x="4440600" y="3505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558720</xdr:colOff>
      <xdr:row>47</xdr:row>
      <xdr:rowOff>1080</xdr:rowOff>
    </xdr:to>
    <xdr:graphicFrame>
      <xdr:nvGraphicFramePr>
        <xdr:cNvPr id="2" name="Chart 3"/>
        <xdr:cNvGraphicFramePr/>
      </xdr:nvGraphicFramePr>
      <xdr:xfrm>
        <a:off x="0" y="6934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30</xdr:row>
      <xdr:rowOff>0</xdr:rowOff>
    </xdr:from>
    <xdr:to>
      <xdr:col>9</xdr:col>
      <xdr:colOff>204480</xdr:colOff>
      <xdr:row>47</xdr:row>
      <xdr:rowOff>1080</xdr:rowOff>
    </xdr:to>
    <xdr:graphicFrame>
      <xdr:nvGraphicFramePr>
        <xdr:cNvPr id="3" name="Chart 4"/>
        <xdr:cNvGraphicFramePr/>
      </xdr:nvGraphicFramePr>
      <xdr:xfrm>
        <a:off x="4440600" y="6934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2" customFormat="false" ht="36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18" hidden="false" customHeight="true" outlineLevel="0" collapsed="false">
      <c r="B4" s="3" t="s">
        <v>2</v>
      </c>
      <c r="C4" s="3"/>
    </row>
    <row r="6" customFormat="false" ht="31.5" hidden="false" customHeight="true" outlineLevel="0" collapsed="false">
      <c r="B6" s="4" t="s">
        <v>3</v>
      </c>
      <c r="C6" s="4"/>
    </row>
    <row r="9" customFormat="false" ht="21.75" hidden="false" customHeight="true" outlineLevel="0" collapsed="false">
      <c r="A9" s="5" t="s">
        <v>4</v>
      </c>
      <c r="B9" s="6"/>
      <c r="C9" s="6"/>
    </row>
    <row r="10" customFormat="false" ht="18" hidden="false" customHeight="true" outlineLevel="0" collapsed="false">
      <c r="B10" s="7" t="s">
        <v>5</v>
      </c>
      <c r="C10" s="8" t="s">
        <v>6</v>
      </c>
    </row>
    <row r="11" customFormat="false" ht="18" hidden="false" customHeight="true" outlineLevel="0" collapsed="false">
      <c r="B11" s="7" t="s">
        <v>7</v>
      </c>
      <c r="C11" s="8" t="s">
        <v>8</v>
      </c>
    </row>
    <row r="12" customFormat="false" ht="18" hidden="false" customHeight="true" outlineLevel="0" collapsed="false">
      <c r="B12" s="7" t="s">
        <v>9</v>
      </c>
      <c r="C12" s="8" t="s">
        <v>10</v>
      </c>
    </row>
    <row r="13" customFormat="false" ht="18" hidden="false" customHeight="true" outlineLevel="0" collapsed="false">
      <c r="B13" s="7" t="s">
        <v>11</v>
      </c>
      <c r="C13" s="8" t="s">
        <v>12</v>
      </c>
    </row>
    <row r="14" customFormat="false" ht="18" hidden="false" customHeight="true" outlineLevel="0" collapsed="false">
      <c r="B14" s="7" t="s">
        <v>13</v>
      </c>
      <c r="C14" s="8" t="s">
        <v>14</v>
      </c>
    </row>
    <row r="15" customFormat="false" ht="18" hidden="false" customHeight="true" outlineLevel="0" collapsed="false">
      <c r="B15" s="7" t="s">
        <v>15</v>
      </c>
      <c r="C15" s="8" t="s">
        <v>16</v>
      </c>
    </row>
    <row r="16" customFormat="false" ht="18" hidden="false" customHeight="true" outlineLevel="0" collapsed="false">
      <c r="B16" s="7" t="s">
        <v>17</v>
      </c>
      <c r="C16" s="8" t="s">
        <v>18</v>
      </c>
    </row>
    <row r="17" customFormat="false" ht="18" hidden="false" customHeight="true" outlineLevel="0" collapsed="false">
      <c r="B17" s="7" t="s">
        <v>19</v>
      </c>
      <c r="C17" s="8" t="s">
        <v>20</v>
      </c>
    </row>
    <row r="18" customFormat="false" ht="18" hidden="false" customHeight="true" outlineLevel="0" collapsed="false">
      <c r="B18" s="7" t="s">
        <v>21</v>
      </c>
      <c r="C18" s="8" t="s">
        <v>22</v>
      </c>
    </row>
    <row r="21" customFormat="false" ht="21.75" hidden="false" customHeight="true" outlineLevel="0" collapsed="false">
      <c r="A21" s="5" t="s">
        <v>23</v>
      </c>
      <c r="B21" s="6"/>
      <c r="C21" s="6"/>
    </row>
    <row r="22" customFormat="false" ht="18" hidden="false" customHeight="true" outlineLevel="0" collapsed="false">
      <c r="B22" s="9" t="s">
        <v>24</v>
      </c>
      <c r="C22" s="8" t="s">
        <v>25</v>
      </c>
    </row>
    <row r="23" customFormat="false" ht="18" hidden="false" customHeight="true" outlineLevel="0" collapsed="false">
      <c r="B23" s="10" t="s">
        <v>26</v>
      </c>
      <c r="C23" s="8" t="s">
        <v>27</v>
      </c>
    </row>
    <row r="24" customFormat="false" ht="18" hidden="false" customHeight="true" outlineLevel="0" collapsed="false">
      <c r="B24" s="11" t="s">
        <v>28</v>
      </c>
      <c r="C24" s="8" t="s">
        <v>29</v>
      </c>
    </row>
    <row r="25" customFormat="false" ht="18" hidden="false" customHeight="true" outlineLevel="0" collapsed="false">
      <c r="B25" s="12" t="s">
        <v>30</v>
      </c>
      <c r="C25" s="8" t="s">
        <v>31</v>
      </c>
    </row>
    <row r="26" customFormat="false" ht="18" hidden="false" customHeight="true" outlineLevel="0" collapsed="false">
      <c r="B26" s="13" t="s">
        <v>32</v>
      </c>
      <c r="C26" s="8" t="s">
        <v>33</v>
      </c>
    </row>
    <row r="29" customFormat="false" ht="21.75" hidden="false" customHeight="true" outlineLevel="0" collapsed="false">
      <c r="A29" s="5" t="s">
        <v>34</v>
      </c>
      <c r="B29" s="6"/>
      <c r="C29" s="6"/>
    </row>
    <row r="30" customFormat="false" ht="18" hidden="false" customHeight="true" outlineLevel="0" collapsed="false">
      <c r="B30" s="14" t="s">
        <v>35</v>
      </c>
      <c r="C30" s="8" t="s">
        <v>36</v>
      </c>
    </row>
    <row r="31" customFormat="false" ht="18" hidden="false" customHeight="true" outlineLevel="0" collapsed="false">
      <c r="B31" s="14" t="s">
        <v>37</v>
      </c>
      <c r="C31" s="8" t="s">
        <v>38</v>
      </c>
    </row>
    <row r="32" customFormat="false" ht="18" hidden="false" customHeight="true" outlineLevel="0" collapsed="false">
      <c r="B32" s="14" t="s">
        <v>39</v>
      </c>
      <c r="C32" s="8" t="s">
        <v>40</v>
      </c>
    </row>
    <row r="33" customFormat="false" ht="18" hidden="false" customHeight="true" outlineLevel="0" collapsed="false">
      <c r="B33" s="14" t="s">
        <v>41</v>
      </c>
      <c r="C33" s="8" t="s">
        <v>42</v>
      </c>
    </row>
    <row r="34" customFormat="false" ht="18" hidden="false" customHeight="true" outlineLevel="0" collapsed="false">
      <c r="B34" s="14" t="s">
        <v>43</v>
      </c>
      <c r="C34" s="8" t="s">
        <v>44</v>
      </c>
    </row>
    <row r="37" customFormat="false" ht="21.75" hidden="false" customHeight="true" outlineLevel="0" collapsed="false">
      <c r="A37" s="5" t="s">
        <v>45</v>
      </c>
      <c r="B37" s="6"/>
      <c r="C37" s="6"/>
    </row>
    <row r="38" customFormat="false" ht="18" hidden="false" customHeight="true" outlineLevel="0" collapsed="false">
      <c r="B38" s="14" t="s">
        <v>46</v>
      </c>
      <c r="C38" s="8" t="s">
        <v>47</v>
      </c>
    </row>
    <row r="39" customFormat="false" ht="18" hidden="false" customHeight="true" outlineLevel="0" collapsed="false">
      <c r="B39" s="14" t="s">
        <v>48</v>
      </c>
      <c r="C39" s="8" t="s">
        <v>49</v>
      </c>
    </row>
    <row r="40" customFormat="false" ht="18" hidden="false" customHeight="true" outlineLevel="0" collapsed="false">
      <c r="B40" s="14" t="s">
        <v>50</v>
      </c>
      <c r="C40" s="8" t="s">
        <v>51</v>
      </c>
    </row>
    <row r="41" customFormat="false" ht="18" hidden="false" customHeight="true" outlineLevel="0" collapsed="false">
      <c r="B41" s="14" t="s">
        <v>52</v>
      </c>
      <c r="C41" s="8" t="s">
        <v>53</v>
      </c>
    </row>
    <row r="42" customFormat="false" ht="18" hidden="false" customHeight="true" outlineLevel="0" collapsed="false">
      <c r="B42" s="14" t="s">
        <v>54</v>
      </c>
      <c r="C42" s="8" t="s">
        <v>55</v>
      </c>
    </row>
    <row r="46" customFormat="false" ht="15" hidden="false" customHeight="false" outlineLevel="0" collapsed="false">
      <c r="B46" s="15" t="s">
        <v>56</v>
      </c>
      <c r="C46" s="15"/>
    </row>
  </sheetData>
  <mergeCells count="5">
    <mergeCell ref="B2:C2"/>
    <mergeCell ref="B3:C3"/>
    <mergeCell ref="B4:C4"/>
    <mergeCell ref="B6:C6"/>
    <mergeCell ref="B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5"/>
  </cols>
  <sheetData>
    <row r="2" customFormat="false" ht="27.75" hidden="false" customHeight="true" outlineLevel="0" collapsed="false">
      <c r="B2" s="16" t="s">
        <v>57</v>
      </c>
      <c r="C2" s="16"/>
      <c r="D2" s="16"/>
      <c r="E2" s="16"/>
    </row>
    <row r="4" customFormat="false" ht="21.75" hidden="false" customHeight="true" outlineLevel="0" collapsed="false">
      <c r="B4" s="17" t="s">
        <v>58</v>
      </c>
      <c r="C4" s="18" t="s">
        <v>59</v>
      </c>
      <c r="D4" s="19" t="s">
        <v>60</v>
      </c>
      <c r="E4" s="19" t="s">
        <v>61</v>
      </c>
    </row>
    <row r="6" customFormat="false" ht="21.75" hidden="false" customHeight="true" outlineLevel="0" collapsed="false">
      <c r="A6" s="5" t="s">
        <v>62</v>
      </c>
      <c r="B6" s="6"/>
      <c r="C6" s="6"/>
      <c r="D6" s="6"/>
      <c r="E6" s="6"/>
    </row>
    <row r="7" customFormat="false" ht="15" hidden="false" customHeight="false" outlineLevel="0" collapsed="false">
      <c r="B7" s="20" t="s">
        <v>63</v>
      </c>
      <c r="C7" s="21" t="n">
        <v>30885</v>
      </c>
      <c r="D7" s="22" t="s">
        <v>64</v>
      </c>
      <c r="E7" s="22" t="s">
        <v>65</v>
      </c>
    </row>
    <row r="8" customFormat="false" ht="15" hidden="false" customHeight="false" outlineLevel="0" collapsed="false">
      <c r="B8" s="20" t="s">
        <v>66</v>
      </c>
      <c r="C8" s="21" t="n">
        <v>2600000</v>
      </c>
      <c r="D8" s="22" t="s">
        <v>64</v>
      </c>
      <c r="E8" s="22" t="s">
        <v>67</v>
      </c>
    </row>
    <row r="9" customFormat="false" ht="15" hidden="false" customHeight="false" outlineLevel="0" collapsed="false">
      <c r="B9" s="20" t="s">
        <v>68</v>
      </c>
      <c r="C9" s="21" t="n">
        <v>156000</v>
      </c>
      <c r="D9" s="22" t="s">
        <v>64</v>
      </c>
      <c r="E9" s="22" t="s">
        <v>69</v>
      </c>
    </row>
    <row r="10" customFormat="false" ht="15" hidden="false" customHeight="false" outlineLevel="0" collapsed="false">
      <c r="B10" s="20" t="s">
        <v>70</v>
      </c>
      <c r="C10" s="21" t="n">
        <v>1000000</v>
      </c>
      <c r="D10" s="22" t="s">
        <v>64</v>
      </c>
      <c r="E10" s="22" t="s">
        <v>71</v>
      </c>
    </row>
    <row r="11" customFormat="false" ht="15" hidden="false" customHeight="false" outlineLevel="0" collapsed="false">
      <c r="B11" s="20" t="s">
        <v>72</v>
      </c>
      <c r="C11" s="21" t="n">
        <v>2100000</v>
      </c>
      <c r="D11" s="22" t="s">
        <v>64</v>
      </c>
      <c r="E11" s="22" t="s">
        <v>73</v>
      </c>
    </row>
    <row r="12" customFormat="false" ht="15" hidden="false" customHeight="false" outlineLevel="0" collapsed="false">
      <c r="B12" s="20" t="s">
        <v>74</v>
      </c>
      <c r="C12" s="23" t="n">
        <v>0.3</v>
      </c>
      <c r="D12" s="22" t="s">
        <v>75</v>
      </c>
      <c r="E12" s="22" t="s">
        <v>76</v>
      </c>
    </row>
    <row r="13" customFormat="false" ht="15" hidden="false" customHeight="false" outlineLevel="0" collapsed="false">
      <c r="B13" s="24" t="s">
        <v>77</v>
      </c>
      <c r="C13" s="25" t="n">
        <f aca="false">SUM(Допущения!$C$8,Допущения!$C$9,Допущения!$C$10,Допущения!$C$11)</f>
        <v>5856000</v>
      </c>
      <c r="D13" s="22" t="s">
        <v>64</v>
      </c>
    </row>
    <row r="14" customFormat="false" ht="15" hidden="false" customHeight="false" outlineLevel="0" collapsed="false">
      <c r="B14" s="24" t="s">
        <v>78</v>
      </c>
      <c r="C14" s="25" t="n">
        <f aca="false">Допущения!$C$13*Допущения!$C$12</f>
        <v>1756800</v>
      </c>
      <c r="D14" s="22" t="s">
        <v>64</v>
      </c>
    </row>
    <row r="16" customFormat="false" ht="21.75" hidden="false" customHeight="true" outlineLevel="0" collapsed="false">
      <c r="A16" s="5" t="s">
        <v>79</v>
      </c>
      <c r="B16" s="6"/>
      <c r="C16" s="6"/>
      <c r="D16" s="6"/>
      <c r="E16" s="6"/>
    </row>
    <row r="17" customFormat="false" ht="15" hidden="false" customHeight="false" outlineLevel="0" collapsed="false">
      <c r="B17" s="26" t="s">
        <v>80</v>
      </c>
    </row>
    <row r="18" customFormat="false" ht="15" hidden="false" customHeight="false" outlineLevel="0" collapsed="false">
      <c r="B18" s="27" t="s">
        <v>81</v>
      </c>
      <c r="C18" s="28" t="n">
        <v>0.85</v>
      </c>
      <c r="D18" s="22" t="s">
        <v>75</v>
      </c>
      <c r="E18" s="22" t="s">
        <v>82</v>
      </c>
    </row>
    <row r="19" customFormat="false" ht="15" hidden="false" customHeight="false" outlineLevel="0" collapsed="false">
      <c r="B19" s="27" t="s">
        <v>83</v>
      </c>
      <c r="C19" s="23" t="n">
        <v>0.55</v>
      </c>
      <c r="D19" s="22" t="s">
        <v>75</v>
      </c>
      <c r="E19" s="22" t="s">
        <v>84</v>
      </c>
    </row>
    <row r="20" customFormat="false" ht="15" hidden="false" customHeight="false" outlineLevel="0" collapsed="false">
      <c r="B20" s="27" t="s">
        <v>85</v>
      </c>
      <c r="C20" s="23" t="n">
        <v>0.25</v>
      </c>
      <c r="D20" s="22" t="s">
        <v>75</v>
      </c>
      <c r="E20" s="22"/>
    </row>
    <row r="21" customFormat="false" ht="15" hidden="false" customHeight="false" outlineLevel="0" collapsed="false">
      <c r="B21" s="27" t="s">
        <v>86</v>
      </c>
      <c r="C21" s="23" t="n">
        <v>0.12</v>
      </c>
      <c r="D21" s="22" t="s">
        <v>75</v>
      </c>
      <c r="E21" s="22"/>
    </row>
    <row r="22" customFormat="false" ht="15" hidden="false" customHeight="false" outlineLevel="0" collapsed="false">
      <c r="B22" s="27" t="s">
        <v>87</v>
      </c>
      <c r="C22" s="23" t="n">
        <v>0.08</v>
      </c>
      <c r="D22" s="22" t="s">
        <v>75</v>
      </c>
      <c r="E22" s="22" t="s">
        <v>88</v>
      </c>
    </row>
    <row r="24" customFormat="false" ht="15" hidden="false" customHeight="false" outlineLevel="0" collapsed="false">
      <c r="B24" s="26" t="s">
        <v>89</v>
      </c>
    </row>
    <row r="25" customFormat="false" ht="15" hidden="false" customHeight="false" outlineLevel="0" collapsed="false">
      <c r="B25" s="27" t="s">
        <v>90</v>
      </c>
      <c r="C25" s="28" t="n">
        <v>0.005</v>
      </c>
      <c r="D25" s="22" t="s">
        <v>75</v>
      </c>
      <c r="E25" s="22" t="s">
        <v>91</v>
      </c>
    </row>
    <row r="26" customFormat="false" ht="15" hidden="false" customHeight="false" outlineLevel="0" collapsed="false">
      <c r="B26" s="27" t="s">
        <v>92</v>
      </c>
      <c r="C26" s="29" t="n">
        <v>1.6</v>
      </c>
      <c r="D26" s="22" t="s">
        <v>93</v>
      </c>
      <c r="E26" s="22" t="s">
        <v>94</v>
      </c>
    </row>
    <row r="28" customFormat="false" ht="15" hidden="false" customHeight="false" outlineLevel="0" collapsed="false">
      <c r="B28" s="26" t="s">
        <v>95</v>
      </c>
    </row>
    <row r="29" customFormat="false" ht="15" hidden="false" customHeight="false" outlineLevel="0" collapsed="false">
      <c r="B29" s="27" t="s">
        <v>96</v>
      </c>
      <c r="C29" s="21" t="n">
        <v>4</v>
      </c>
      <c r="D29" s="22" t="s">
        <v>97</v>
      </c>
      <c r="E29" s="22" t="s">
        <v>98</v>
      </c>
    </row>
    <row r="30" customFormat="false" ht="15" hidden="false" customHeight="false" outlineLevel="0" collapsed="false">
      <c r="B30" s="27" t="s">
        <v>99</v>
      </c>
      <c r="C30" s="30" t="n">
        <v>0.04</v>
      </c>
      <c r="D30" s="22" t="s">
        <v>93</v>
      </c>
      <c r="E30" s="22" t="s">
        <v>100</v>
      </c>
    </row>
    <row r="31" customFormat="false" ht="15" hidden="false" customHeight="false" outlineLevel="0" collapsed="false">
      <c r="B31" s="27" t="s">
        <v>101</v>
      </c>
      <c r="C31" s="23" t="n">
        <v>0.4</v>
      </c>
      <c r="D31" s="22" t="s">
        <v>75</v>
      </c>
      <c r="E31" s="22" t="s">
        <v>102</v>
      </c>
    </row>
    <row r="33" customFormat="false" ht="15" hidden="false" customHeight="false" outlineLevel="0" collapsed="false">
      <c r="B33" s="26" t="s">
        <v>103</v>
      </c>
    </row>
    <row r="34" customFormat="false" ht="15" hidden="false" customHeight="false" outlineLevel="0" collapsed="false">
      <c r="B34" s="27" t="s">
        <v>104</v>
      </c>
      <c r="C34" s="31" t="n">
        <v>150</v>
      </c>
      <c r="D34" s="22" t="s">
        <v>105</v>
      </c>
      <c r="E34" s="22" t="s">
        <v>106</v>
      </c>
    </row>
    <row r="35" customFormat="false" ht="15" hidden="false" customHeight="false" outlineLevel="0" collapsed="false">
      <c r="B35" s="27" t="s">
        <v>107</v>
      </c>
      <c r="C35" s="21" t="n">
        <v>150000</v>
      </c>
      <c r="D35" s="22" t="s">
        <v>108</v>
      </c>
      <c r="E35" s="22" t="s">
        <v>109</v>
      </c>
    </row>
    <row r="36" customFormat="false" ht="15" hidden="false" customHeight="false" outlineLevel="0" collapsed="false">
      <c r="B36" s="27" t="s">
        <v>110</v>
      </c>
      <c r="C36" s="21" t="n">
        <v>350000</v>
      </c>
      <c r="D36" s="22" t="s">
        <v>108</v>
      </c>
      <c r="E36" s="22" t="s">
        <v>111</v>
      </c>
    </row>
    <row r="37" customFormat="false" ht="15" hidden="false" customHeight="false" outlineLevel="0" collapsed="false">
      <c r="B37" s="27" t="s">
        <v>112</v>
      </c>
      <c r="C37" s="21" t="n">
        <v>250000</v>
      </c>
      <c r="D37" s="22" t="s">
        <v>108</v>
      </c>
      <c r="E37" s="22" t="s">
        <v>113</v>
      </c>
    </row>
    <row r="38" customFormat="false" ht="15" hidden="false" customHeight="false" outlineLevel="0" collapsed="false">
      <c r="B38" s="27" t="s">
        <v>114</v>
      </c>
      <c r="C38" s="21" t="n">
        <v>200000</v>
      </c>
      <c r="D38" s="22" t="s">
        <v>108</v>
      </c>
      <c r="E38" s="22" t="s">
        <v>115</v>
      </c>
    </row>
    <row r="40" customFormat="false" ht="15" hidden="false" customHeight="false" outlineLevel="0" collapsed="false">
      <c r="B40" s="26" t="s">
        <v>116</v>
      </c>
    </row>
    <row r="41" customFormat="false" ht="15" hidden="false" customHeight="false" outlineLevel="0" collapsed="false">
      <c r="B41" s="27" t="s">
        <v>117</v>
      </c>
      <c r="C41" s="21" t="n">
        <v>200</v>
      </c>
      <c r="D41" s="22" t="s">
        <v>118</v>
      </c>
      <c r="E41" s="22" t="s">
        <v>119</v>
      </c>
    </row>
    <row r="42" customFormat="false" ht="15" hidden="false" customHeight="false" outlineLevel="0" collapsed="false">
      <c r="B42" s="27" t="s">
        <v>120</v>
      </c>
      <c r="C42" s="21" t="n">
        <v>1500</v>
      </c>
      <c r="D42" s="22" t="s">
        <v>118</v>
      </c>
      <c r="E42" s="22" t="s">
        <v>121</v>
      </c>
    </row>
    <row r="45" customFormat="false" ht="21.75" hidden="false" customHeight="true" outlineLevel="0" collapsed="false">
      <c r="A45" s="5" t="s">
        <v>122</v>
      </c>
      <c r="B45" s="6"/>
      <c r="C45" s="6"/>
      <c r="D45" s="6"/>
      <c r="E45" s="6"/>
    </row>
    <row r="46" customFormat="false" ht="15" hidden="false" customHeight="false" outlineLevel="0" collapsed="false">
      <c r="B46" s="20" t="s">
        <v>123</v>
      </c>
      <c r="C46" s="23" t="n">
        <v>0.65</v>
      </c>
      <c r="D46" s="22" t="s">
        <v>75</v>
      </c>
      <c r="E46" s="22" t="s">
        <v>124</v>
      </c>
    </row>
    <row r="47" customFormat="false" ht="15" hidden="false" customHeight="false" outlineLevel="0" collapsed="false">
      <c r="B47" s="20" t="s">
        <v>125</v>
      </c>
      <c r="C47" s="28" t="n">
        <v>0.32</v>
      </c>
      <c r="D47" s="22" t="s">
        <v>75</v>
      </c>
      <c r="E47" s="22" t="s">
        <v>126</v>
      </c>
    </row>
    <row r="48" customFormat="false" ht="15" hidden="false" customHeight="false" outlineLevel="0" collapsed="false">
      <c r="B48" s="20" t="s">
        <v>127</v>
      </c>
      <c r="C48" s="23" t="n">
        <v>0.38</v>
      </c>
      <c r="D48" s="22" t="s">
        <v>75</v>
      </c>
      <c r="E48" s="22" t="s">
        <v>128</v>
      </c>
    </row>
    <row r="49" customFormat="false" ht="15" hidden="false" customHeight="false" outlineLevel="0" collapsed="false">
      <c r="B49" s="20" t="s">
        <v>129</v>
      </c>
      <c r="C49" s="23" t="n">
        <v>0.42</v>
      </c>
      <c r="D49" s="22" t="s">
        <v>75</v>
      </c>
      <c r="E49" s="22" t="s">
        <v>130</v>
      </c>
    </row>
    <row r="50" customFormat="false" ht="15" hidden="false" customHeight="false" outlineLevel="0" collapsed="false">
      <c r="B50" s="20" t="s">
        <v>131</v>
      </c>
      <c r="C50" s="28" t="n">
        <v>0.45</v>
      </c>
      <c r="D50" s="22" t="s">
        <v>75</v>
      </c>
      <c r="E50" s="22" t="s">
        <v>132</v>
      </c>
    </row>
    <row r="51" customFormat="false" ht="15" hidden="false" customHeight="false" outlineLevel="0" collapsed="false">
      <c r="B51" s="20" t="s">
        <v>133</v>
      </c>
      <c r="C51" s="28" t="n">
        <v>0.45</v>
      </c>
      <c r="D51" s="22" t="s">
        <v>75</v>
      </c>
      <c r="E51" s="22" t="s">
        <v>134</v>
      </c>
    </row>
    <row r="52" customFormat="false" ht="15" hidden="false" customHeight="false" outlineLevel="0" collapsed="false">
      <c r="B52" s="20" t="s">
        <v>135</v>
      </c>
      <c r="C52" s="23" t="n">
        <v>1</v>
      </c>
      <c r="D52" s="22" t="s">
        <v>75</v>
      </c>
      <c r="E52" s="22" t="s">
        <v>136</v>
      </c>
    </row>
    <row r="53" customFormat="false" ht="15" hidden="false" customHeight="false" outlineLevel="0" collapsed="false">
      <c r="B53" s="20" t="s">
        <v>137</v>
      </c>
      <c r="C53" s="23" t="n">
        <v>0.9</v>
      </c>
      <c r="D53" s="22" t="s">
        <v>75</v>
      </c>
      <c r="E53" s="22" t="s">
        <v>138</v>
      </c>
    </row>
    <row r="55" customFormat="false" ht="21.75" hidden="false" customHeight="true" outlineLevel="0" collapsed="false">
      <c r="A55" s="5" t="s">
        <v>139</v>
      </c>
      <c r="B55" s="6"/>
      <c r="C55" s="6"/>
      <c r="D55" s="6"/>
      <c r="E55" s="6"/>
    </row>
    <row r="56" customFormat="false" ht="15" hidden="false" customHeight="false" outlineLevel="0" collapsed="false">
      <c r="B56" s="20" t="s">
        <v>140</v>
      </c>
      <c r="C56" s="31" t="n">
        <v>1500</v>
      </c>
      <c r="D56" s="22" t="s">
        <v>108</v>
      </c>
      <c r="E56" s="22" t="s">
        <v>141</v>
      </c>
    </row>
    <row r="57" customFormat="false" ht="15" hidden="false" customHeight="false" outlineLevel="0" collapsed="false">
      <c r="B57" s="20" t="s">
        <v>142</v>
      </c>
      <c r="C57" s="23" t="n">
        <v>0.3</v>
      </c>
      <c r="D57" s="22" t="s">
        <v>75</v>
      </c>
      <c r="E57" s="22" t="s">
        <v>143</v>
      </c>
    </row>
    <row r="58" customFormat="false" ht="15" hidden="false" customHeight="false" outlineLevel="0" collapsed="false">
      <c r="B58" s="20" t="s">
        <v>144</v>
      </c>
      <c r="C58" s="23" t="n">
        <v>0.3</v>
      </c>
      <c r="D58" s="22" t="s">
        <v>75</v>
      </c>
      <c r="E58" s="22" t="s">
        <v>145</v>
      </c>
    </row>
    <row r="59" customFormat="false" ht="15" hidden="false" customHeight="false" outlineLevel="0" collapsed="false">
      <c r="B59" s="20" t="s">
        <v>146</v>
      </c>
      <c r="C59" s="23" t="n">
        <v>0.001</v>
      </c>
      <c r="D59" s="22" t="s">
        <v>75</v>
      </c>
      <c r="E59" s="22" t="s">
        <v>147</v>
      </c>
    </row>
    <row r="60" customFormat="false" ht="15" hidden="false" customHeight="false" outlineLevel="0" collapsed="false">
      <c r="B60" s="20" t="s">
        <v>148</v>
      </c>
      <c r="C60" s="28" t="n">
        <v>0.002</v>
      </c>
      <c r="D60" s="22" t="s">
        <v>75</v>
      </c>
      <c r="E60" s="22" t="s">
        <v>149</v>
      </c>
    </row>
    <row r="61" customFormat="false" ht="15" hidden="false" customHeight="false" outlineLevel="0" collapsed="false">
      <c r="B61" s="20" t="s">
        <v>150</v>
      </c>
      <c r="C61" s="23" t="n">
        <v>0.003</v>
      </c>
      <c r="D61" s="22" t="s">
        <v>75</v>
      </c>
      <c r="E61" s="22" t="s">
        <v>151</v>
      </c>
    </row>
    <row r="62" customFormat="false" ht="15" hidden="false" customHeight="false" outlineLevel="0" collapsed="false">
      <c r="B62" s="20" t="s">
        <v>152</v>
      </c>
      <c r="C62" s="28" t="n">
        <v>0.004</v>
      </c>
      <c r="D62" s="22" t="s">
        <v>75</v>
      </c>
      <c r="E62" s="22" t="s">
        <v>153</v>
      </c>
    </row>
    <row r="63" customFormat="false" ht="15" hidden="false" customHeight="false" outlineLevel="0" collapsed="false">
      <c r="B63" s="20" t="s">
        <v>154</v>
      </c>
      <c r="C63" s="28" t="n">
        <v>0.08</v>
      </c>
      <c r="D63" s="22" t="s">
        <v>75</v>
      </c>
      <c r="E63" s="22" t="s">
        <v>155</v>
      </c>
    </row>
    <row r="64" customFormat="false" ht="15" hidden="false" customHeight="false" outlineLevel="0" collapsed="false">
      <c r="B64" s="20" t="s">
        <v>156</v>
      </c>
      <c r="C64" s="23" t="n">
        <v>0.06</v>
      </c>
      <c r="D64" s="22" t="s">
        <v>75</v>
      </c>
      <c r="E64" s="22" t="s">
        <v>157</v>
      </c>
    </row>
    <row r="66" customFormat="false" ht="21.75" hidden="false" customHeight="true" outlineLevel="0" collapsed="false">
      <c r="A66" s="5" t="s">
        <v>158</v>
      </c>
      <c r="B66" s="6"/>
      <c r="C66" s="6"/>
      <c r="D66" s="6"/>
      <c r="E66" s="6"/>
    </row>
    <row r="67" customFormat="false" ht="15" hidden="false" customHeight="false" outlineLevel="0" collapsed="false">
      <c r="B67" s="32" t="s">
        <v>159</v>
      </c>
    </row>
    <row r="68" customFormat="false" ht="15" hidden="false" customHeight="false" outlineLevel="0" collapsed="false">
      <c r="B68" s="20" t="s">
        <v>160</v>
      </c>
      <c r="C68" s="21" t="n">
        <v>350000</v>
      </c>
      <c r="D68" s="22" t="s">
        <v>108</v>
      </c>
      <c r="E68" s="22" t="s">
        <v>161</v>
      </c>
    </row>
    <row r="69" customFormat="false" ht="15" hidden="false" customHeight="false" outlineLevel="0" collapsed="false">
      <c r="B69" s="20" t="s">
        <v>162</v>
      </c>
      <c r="C69" s="21" t="n">
        <v>180000</v>
      </c>
      <c r="D69" s="22" t="s">
        <v>108</v>
      </c>
      <c r="E69" s="22" t="s">
        <v>163</v>
      </c>
    </row>
    <row r="70" customFormat="false" ht="15" hidden="false" customHeight="false" outlineLevel="0" collapsed="false">
      <c r="B70" s="20" t="s">
        <v>164</v>
      </c>
      <c r="C70" s="21" t="n">
        <v>320000</v>
      </c>
      <c r="D70" s="22" t="s">
        <v>108</v>
      </c>
      <c r="E70" s="22" t="s">
        <v>165</v>
      </c>
    </row>
    <row r="71" customFormat="false" ht="15" hidden="false" customHeight="false" outlineLevel="0" collapsed="false">
      <c r="B71" s="20" t="s">
        <v>166</v>
      </c>
      <c r="C71" s="21" t="n">
        <v>120000</v>
      </c>
      <c r="D71" s="22" t="s">
        <v>108</v>
      </c>
      <c r="E71" s="22" t="s">
        <v>167</v>
      </c>
    </row>
    <row r="72" customFormat="false" ht="15" hidden="false" customHeight="false" outlineLevel="0" collapsed="false">
      <c r="B72" s="20" t="s">
        <v>168</v>
      </c>
      <c r="C72" s="21" t="n">
        <v>150000</v>
      </c>
      <c r="D72" s="22" t="s">
        <v>108</v>
      </c>
      <c r="E72" s="22" t="s">
        <v>169</v>
      </c>
    </row>
    <row r="73" customFormat="false" ht="15" hidden="false" customHeight="false" outlineLevel="0" collapsed="false">
      <c r="B73" s="20" t="s">
        <v>170</v>
      </c>
      <c r="C73" s="21" t="n">
        <v>130000</v>
      </c>
      <c r="D73" s="22" t="s">
        <v>108</v>
      </c>
      <c r="E73" s="22" t="s">
        <v>171</v>
      </c>
    </row>
    <row r="74" customFormat="false" ht="15" hidden="false" customHeight="false" outlineLevel="0" collapsed="false">
      <c r="B74" s="20" t="s">
        <v>172</v>
      </c>
      <c r="C74" s="21" t="n">
        <v>110000</v>
      </c>
      <c r="D74" s="22" t="s">
        <v>108</v>
      </c>
      <c r="E74" s="22" t="s">
        <v>173</v>
      </c>
    </row>
    <row r="75" customFormat="false" ht="15" hidden="false" customHeight="false" outlineLevel="0" collapsed="false">
      <c r="B75" s="20" t="s">
        <v>174</v>
      </c>
      <c r="C75" s="23" t="n">
        <v>0.3</v>
      </c>
      <c r="D75" s="22" t="s">
        <v>75</v>
      </c>
      <c r="E75" s="22" t="s">
        <v>175</v>
      </c>
    </row>
    <row r="77" customFormat="false" ht="21.75" hidden="false" customHeight="true" outlineLevel="0" collapsed="false">
      <c r="A77" s="5" t="s">
        <v>176</v>
      </c>
      <c r="B77" s="6"/>
      <c r="C77" s="6"/>
      <c r="D77" s="6"/>
      <c r="E77" s="6"/>
    </row>
    <row r="78" customFormat="false" ht="15" hidden="false" customHeight="false" outlineLevel="0" collapsed="false">
      <c r="B78" s="20" t="s">
        <v>177</v>
      </c>
      <c r="C78" s="21" t="n">
        <v>35000</v>
      </c>
      <c r="D78" s="22" t="s">
        <v>108</v>
      </c>
      <c r="E78" s="22" t="s">
        <v>178</v>
      </c>
    </row>
    <row r="79" customFormat="false" ht="15" hidden="false" customHeight="false" outlineLevel="0" collapsed="false">
      <c r="B79" s="20" t="s">
        <v>179</v>
      </c>
      <c r="C79" s="21" t="n">
        <v>1200</v>
      </c>
      <c r="D79" s="22" t="s">
        <v>108</v>
      </c>
      <c r="E79" s="22" t="s">
        <v>180</v>
      </c>
    </row>
    <row r="80" customFormat="false" ht="15" hidden="false" customHeight="false" outlineLevel="0" collapsed="false">
      <c r="B80" s="20" t="s">
        <v>181</v>
      </c>
      <c r="C80" s="21" t="n">
        <v>12</v>
      </c>
      <c r="D80" s="22" t="s">
        <v>105</v>
      </c>
      <c r="E80" s="22" t="s">
        <v>182</v>
      </c>
    </row>
    <row r="81" customFormat="false" ht="15" hidden="false" customHeight="false" outlineLevel="0" collapsed="false">
      <c r="B81" s="20" t="s">
        <v>183</v>
      </c>
      <c r="C81" s="21" t="n">
        <v>8</v>
      </c>
      <c r="D81" s="22" t="s">
        <v>105</v>
      </c>
      <c r="E81" s="22" t="s">
        <v>184</v>
      </c>
    </row>
    <row r="82" customFormat="false" ht="15" hidden="false" customHeight="false" outlineLevel="0" collapsed="false">
      <c r="B82" s="20" t="s">
        <v>185</v>
      </c>
      <c r="C82" s="21" t="n">
        <v>90</v>
      </c>
      <c r="D82" s="22" t="s">
        <v>186</v>
      </c>
      <c r="E82" s="22" t="s">
        <v>187</v>
      </c>
    </row>
    <row r="83" customFormat="false" ht="15" hidden="false" customHeight="false" outlineLevel="0" collapsed="false">
      <c r="B83" s="20" t="s">
        <v>188</v>
      </c>
      <c r="C83" s="21" t="n">
        <v>250</v>
      </c>
      <c r="D83" s="22" t="s">
        <v>186</v>
      </c>
      <c r="E83" s="22" t="s">
        <v>189</v>
      </c>
    </row>
    <row r="85" customFormat="false" ht="21.75" hidden="false" customHeight="true" outlineLevel="0" collapsed="false">
      <c r="A85" s="5" t="s">
        <v>190</v>
      </c>
      <c r="B85" s="6"/>
      <c r="C85" s="6"/>
      <c r="D85" s="6"/>
      <c r="E85" s="6"/>
    </row>
    <row r="86" customFormat="false" ht="15" hidden="false" customHeight="false" outlineLevel="0" collapsed="false">
      <c r="B86" s="20" t="s">
        <v>191</v>
      </c>
      <c r="C86" s="21" t="n">
        <v>12</v>
      </c>
      <c r="D86" s="22" t="s">
        <v>192</v>
      </c>
      <c r="E86" s="22" t="s">
        <v>193</v>
      </c>
    </row>
    <row r="87" customFormat="false" ht="15" hidden="false" customHeight="false" outlineLevel="0" collapsed="false">
      <c r="B87" s="20" t="s">
        <v>194</v>
      </c>
      <c r="C87" s="21" t="n">
        <v>125000</v>
      </c>
      <c r="D87" s="22" t="s">
        <v>105</v>
      </c>
      <c r="E87" s="22" t="s">
        <v>195</v>
      </c>
    </row>
    <row r="88" customFormat="false" ht="15" hidden="false" customHeight="false" outlineLevel="0" collapsed="false">
      <c r="B88" s="20" t="s">
        <v>196</v>
      </c>
      <c r="C88" s="21" t="n">
        <v>180000</v>
      </c>
      <c r="D88" s="22" t="s">
        <v>105</v>
      </c>
      <c r="E88" s="22" t="s">
        <v>197</v>
      </c>
    </row>
    <row r="89" customFormat="false" ht="15" hidden="false" customHeight="false" outlineLevel="0" collapsed="false">
      <c r="B89" s="20" t="s">
        <v>198</v>
      </c>
      <c r="C89" s="21" t="n">
        <v>200000</v>
      </c>
      <c r="D89" s="22" t="s">
        <v>199</v>
      </c>
      <c r="E89" s="22" t="s">
        <v>200</v>
      </c>
    </row>
    <row r="90" customFormat="false" ht="15" hidden="false" customHeight="false" outlineLevel="0" collapsed="false">
      <c r="B90" s="20" t="s">
        <v>201</v>
      </c>
      <c r="C90" s="21" t="n">
        <v>4</v>
      </c>
      <c r="D90" s="22" t="s">
        <v>192</v>
      </c>
      <c r="E90" s="22" t="s">
        <v>202</v>
      </c>
    </row>
    <row r="92" customFormat="false" ht="21.75" hidden="false" customHeight="true" outlineLevel="0" collapsed="false">
      <c r="A92" s="5" t="s">
        <v>203</v>
      </c>
      <c r="B92" s="6"/>
      <c r="C92" s="6"/>
      <c r="D92" s="6"/>
      <c r="E92" s="6"/>
    </row>
    <row r="93" customFormat="false" ht="15" hidden="false" customHeight="false" outlineLevel="0" collapsed="false">
      <c r="B93" s="20" t="s">
        <v>204</v>
      </c>
      <c r="C93" s="21" t="n">
        <v>55000</v>
      </c>
      <c r="D93" s="22" t="s">
        <v>108</v>
      </c>
      <c r="E93" s="22" t="s">
        <v>205</v>
      </c>
    </row>
    <row r="94" customFormat="false" ht="15" hidden="false" customHeight="false" outlineLevel="0" collapsed="false">
      <c r="B94" s="20" t="s">
        <v>206</v>
      </c>
      <c r="C94" s="21" t="n">
        <v>40000</v>
      </c>
      <c r="D94" s="22" t="s">
        <v>108</v>
      </c>
      <c r="E94" s="22" t="s">
        <v>207</v>
      </c>
    </row>
    <row r="95" customFormat="false" ht="15" hidden="false" customHeight="false" outlineLevel="0" collapsed="false">
      <c r="B95" s="20" t="s">
        <v>208</v>
      </c>
      <c r="C95" s="21" t="n">
        <v>12000000</v>
      </c>
      <c r="D95" s="22" t="s">
        <v>105</v>
      </c>
      <c r="E95" s="22" t="s">
        <v>209</v>
      </c>
    </row>
    <row r="96" customFormat="false" ht="15" hidden="false" customHeight="false" outlineLevel="0" collapsed="false">
      <c r="B96" s="20" t="s">
        <v>210</v>
      </c>
      <c r="C96" s="23" t="n">
        <v>0.029</v>
      </c>
      <c r="D96" s="22" t="s">
        <v>75</v>
      </c>
      <c r="E96" s="22" t="s">
        <v>211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3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33" t="s">
        <v>212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.75" hidden="false" customHeight="true" outlineLevel="0" collapsed="false">
      <c r="B4" s="34" t="s">
        <v>213</v>
      </c>
      <c r="C4" s="34" t="s">
        <v>213</v>
      </c>
      <c r="D4" s="34" t="s">
        <v>213</v>
      </c>
      <c r="E4" s="35" t="s">
        <v>214</v>
      </c>
      <c r="F4" s="35" t="s">
        <v>214</v>
      </c>
      <c r="G4" s="35" t="s">
        <v>214</v>
      </c>
      <c r="H4" s="36" t="s">
        <v>215</v>
      </c>
      <c r="I4" s="36" t="s">
        <v>215</v>
      </c>
      <c r="J4" s="36" t="s">
        <v>215</v>
      </c>
      <c r="K4" s="37" t="s">
        <v>216</v>
      </c>
      <c r="L4" s="37" t="s">
        <v>216</v>
      </c>
      <c r="M4" s="37" t="s">
        <v>216</v>
      </c>
    </row>
    <row r="5" customFormat="false" ht="31.5" hidden="false" customHeight="true" outlineLevel="0" collapsed="false">
      <c r="B5" s="38" t="s">
        <v>217</v>
      </c>
      <c r="C5" s="38" t="s">
        <v>218</v>
      </c>
      <c r="D5" s="38" t="s">
        <v>219</v>
      </c>
      <c r="E5" s="38" t="s">
        <v>220</v>
      </c>
      <c r="F5" s="38" t="s">
        <v>221</v>
      </c>
      <c r="G5" s="38" t="s">
        <v>222</v>
      </c>
      <c r="H5" s="38" t="s">
        <v>223</v>
      </c>
      <c r="I5" s="38" t="s">
        <v>224</v>
      </c>
      <c r="J5" s="38" t="s">
        <v>225</v>
      </c>
      <c r="K5" s="38" t="s">
        <v>226</v>
      </c>
      <c r="L5" s="38" t="s">
        <v>227</v>
      </c>
      <c r="M5" s="38" t="s">
        <v>228</v>
      </c>
      <c r="N5" s="39" t="s">
        <v>229</v>
      </c>
    </row>
    <row r="6" customFormat="false" ht="21.75" hidden="false" customHeight="true" outlineLevel="0" collapsed="false">
      <c r="A6" s="5" t="s">
        <v>230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7" t="s">
        <v>231</v>
      </c>
    </row>
    <row r="8" customFormat="false" ht="15" hidden="false" customHeight="false" outlineLevel="0" collapsed="false">
      <c r="A8" s="20" t="s">
        <v>232</v>
      </c>
      <c r="B8" s="40" t="n">
        <f aca="false">Допущения!$C$7*Допущения!$C$18*Допущения!$C$19/3</f>
        <v>4812.9125</v>
      </c>
      <c r="C8" s="40" t="n">
        <f aca="false">Допущения!$C$7*Допущения!$C$18*Допущения!$C$19/3</f>
        <v>4812.9125</v>
      </c>
      <c r="D8" s="40" t="n">
        <f aca="false">Допущения!$C$7*Допущения!$C$18*Допущения!$C$19/3</f>
        <v>4812.9125</v>
      </c>
      <c r="E8" s="40" t="n">
        <f aca="false">Допущения!$C$7*Допущения!$C$18*Допущения!$C$20/3</f>
        <v>2187.6875</v>
      </c>
      <c r="F8" s="40" t="n">
        <f aca="false">Допущения!$C$7*Допущения!$C$18*Допущения!$C$20/3</f>
        <v>2187.6875</v>
      </c>
      <c r="G8" s="40" t="n">
        <f aca="false">Допущения!$C$7*Допущения!$C$18*Допущения!$C$20/3</f>
        <v>2187.6875</v>
      </c>
      <c r="H8" s="40" t="n">
        <f aca="false">Допущения!$C$7*Допущения!$C$18*Допущения!$C$21/3</f>
        <v>1050.09</v>
      </c>
      <c r="I8" s="40" t="n">
        <f aca="false">Допущения!$C$7*Допущения!$C$18*Допущения!$C$21/3</f>
        <v>1050.09</v>
      </c>
      <c r="J8" s="40" t="n">
        <f aca="false">Допущения!$C$7*Допущения!$C$18*Допущения!$C$21/3</f>
        <v>1050.09</v>
      </c>
      <c r="K8" s="40" t="n">
        <f aca="false">Допущения!$C$7*Допущения!$C$18*Допущения!$C$22/3</f>
        <v>700.06</v>
      </c>
      <c r="L8" s="40" t="n">
        <f aca="false">Допущения!$C$7*Допущения!$C$18*Допущения!$C$22/3</f>
        <v>700.06</v>
      </c>
      <c r="M8" s="40" t="n">
        <f aca="false">Допущения!$C$7*Допущения!$C$18*Допущения!$C$22/3</f>
        <v>700.06</v>
      </c>
      <c r="N8" s="25" t="n">
        <f aca="false">SUM(B8:M8)</f>
        <v>26252.25</v>
      </c>
    </row>
    <row r="10" customFormat="false" ht="15" hidden="false" customHeight="false" outlineLevel="0" collapsed="false">
      <c r="A10" s="7" t="s">
        <v>233</v>
      </c>
    </row>
    <row r="11" customFormat="false" ht="15" hidden="false" customHeight="false" outlineLevel="0" collapsed="false">
      <c r="A11" s="20" t="s">
        <v>234</v>
      </c>
      <c r="B11" s="40" t="n">
        <f aca="false">Допущения!$C$14*Допущения!$C$25*1</f>
        <v>8784</v>
      </c>
      <c r="C11" s="40" t="n">
        <f aca="false">Допущения!$C$14*Допущения!$C$25*1</f>
        <v>8784</v>
      </c>
      <c r="D11" s="40" t="n">
        <f aca="false">Допущения!$C$14*Допущения!$C$25*1</f>
        <v>8784</v>
      </c>
      <c r="E11" s="40" t="n">
        <f aca="false">Допущения!$C$14*Допущения!$C$25*Допущения!$C$26</f>
        <v>14054.4</v>
      </c>
      <c r="F11" s="40" t="n">
        <f aca="false">Допущения!$C$14*Допущения!$C$25*Допущения!$C$26</f>
        <v>14054.4</v>
      </c>
      <c r="G11" s="40" t="n">
        <f aca="false">Допущения!$C$14*Допущения!$C$25*Допущения!$C$26</f>
        <v>14054.4</v>
      </c>
      <c r="H11" s="40" t="n">
        <f aca="false">Допущения!$C$14*Допущения!$C$25*Допущения!$C$26</f>
        <v>14054.4</v>
      </c>
      <c r="I11" s="40" t="n">
        <f aca="false">Допущения!$C$14*Допущения!$C$25*Допущения!$C$26</f>
        <v>14054.4</v>
      </c>
      <c r="J11" s="40" t="n">
        <f aca="false">Допущения!$C$14*Допущения!$C$25*Допущения!$C$26</f>
        <v>14054.4</v>
      </c>
      <c r="K11" s="40" t="n">
        <f aca="false">Допущения!$C$14*Допущения!$C$25*Допущения!$C$26</f>
        <v>14054.4</v>
      </c>
      <c r="L11" s="40" t="n">
        <f aca="false">Допущения!$C$14*Допущения!$C$25*Допущения!$C$26</f>
        <v>14054.4</v>
      </c>
      <c r="M11" s="40" t="n">
        <f aca="false">Допущения!$C$14*Допущения!$C$25*Допущения!$C$26</f>
        <v>14054.4</v>
      </c>
      <c r="N11" s="25" t="n">
        <f aca="false">SUM(B11:M11)</f>
        <v>152841.6</v>
      </c>
    </row>
    <row r="13" customFormat="false" ht="15" hidden="false" customHeight="false" outlineLevel="0" collapsed="false">
      <c r="A13" s="7" t="s">
        <v>235</v>
      </c>
    </row>
    <row r="14" customFormat="false" ht="15" hidden="false" customHeight="false" outlineLevel="0" collapsed="false">
      <c r="A14" s="20" t="s">
        <v>236</v>
      </c>
      <c r="B14" s="40" t="n">
        <f aca="false">Допущения!$C$35</f>
        <v>150000</v>
      </c>
      <c r="C14" s="40" t="n">
        <f aca="false">Допущения!$C$35</f>
        <v>150000</v>
      </c>
      <c r="D14" s="40" t="n">
        <f aca="false">Допущения!$C$35</f>
        <v>150000</v>
      </c>
      <c r="E14" s="40" t="n">
        <f aca="false">Допущения!$C$36</f>
        <v>350000</v>
      </c>
      <c r="F14" s="40" t="n">
        <f aca="false">Допущения!$C$36</f>
        <v>350000</v>
      </c>
      <c r="G14" s="40" t="n">
        <f aca="false">Допущения!$C$36</f>
        <v>350000</v>
      </c>
      <c r="H14" s="40" t="n">
        <f aca="false">Допущения!$C$37</f>
        <v>250000</v>
      </c>
      <c r="I14" s="40" t="n">
        <f aca="false">Допущения!$C$37</f>
        <v>250000</v>
      </c>
      <c r="J14" s="40" t="n">
        <f aca="false">Допущения!$C$37</f>
        <v>250000</v>
      </c>
      <c r="K14" s="40" t="n">
        <f aca="false">Допущения!$C$38</f>
        <v>200000</v>
      </c>
      <c r="L14" s="40" t="n">
        <f aca="false">Допущения!$C$38</f>
        <v>200000</v>
      </c>
      <c r="M14" s="40" t="n">
        <f aca="false">Допущения!$C$38</f>
        <v>200000</v>
      </c>
      <c r="N14" s="25" t="n">
        <f aca="false">SUM(B14:M14)</f>
        <v>2850000</v>
      </c>
    </row>
    <row r="15" customFormat="false" ht="15" hidden="false" customHeight="false" outlineLevel="0" collapsed="false">
      <c r="A15" s="20" t="s">
        <v>237</v>
      </c>
      <c r="B15" s="41" t="n">
        <f aca="false">B14/Допущения!$C$34</f>
        <v>1000</v>
      </c>
      <c r="C15" s="41" t="n">
        <f aca="false">C14/Допущения!$C$34</f>
        <v>1000</v>
      </c>
      <c r="D15" s="41" t="n">
        <f aca="false">D14/Допущения!$C$34</f>
        <v>1000</v>
      </c>
      <c r="E15" s="41" t="n">
        <f aca="false">E14/Допущения!$C$34</f>
        <v>2333.33333333333</v>
      </c>
      <c r="F15" s="41" t="n">
        <f aca="false">F14/Допущения!$C$34</f>
        <v>2333.33333333333</v>
      </c>
      <c r="G15" s="41" t="n">
        <f aca="false">G14/Допущения!$C$34</f>
        <v>2333.33333333333</v>
      </c>
      <c r="H15" s="41" t="n">
        <f aca="false">H14/Допущения!$C$34</f>
        <v>1666.66666666667</v>
      </c>
      <c r="I15" s="41" t="n">
        <f aca="false">I14/Допущения!$C$34</f>
        <v>1666.66666666667</v>
      </c>
      <c r="J15" s="41" t="n">
        <f aca="false">J14/Допущения!$C$34</f>
        <v>1666.66666666667</v>
      </c>
      <c r="K15" s="41" t="n">
        <f aca="false">K14/Допущения!$C$34</f>
        <v>1333.33333333333</v>
      </c>
      <c r="L15" s="41" t="n">
        <f aca="false">L14/Допущения!$C$34</f>
        <v>1333.33333333333</v>
      </c>
      <c r="M15" s="41" t="n">
        <f aca="false">M14/Допущения!$C$34</f>
        <v>1333.33333333333</v>
      </c>
      <c r="N15" s="25" t="n">
        <f aca="false">SUM(B15:M15)</f>
        <v>19000</v>
      </c>
    </row>
    <row r="17" customFormat="false" ht="15" hidden="false" customHeight="false" outlineLevel="0" collapsed="false">
      <c r="A17" s="7" t="s">
        <v>238</v>
      </c>
    </row>
    <row r="18" customFormat="false" ht="15" hidden="false" customHeight="false" outlineLevel="0" collapsed="false">
      <c r="A18" s="20" t="s">
        <v>239</v>
      </c>
      <c r="B18" s="40" t="n">
        <f aca="false">Допущения!$C$41+(Допущения!$C$42-Допущения!$C$41)*(1-1)/11</f>
        <v>200</v>
      </c>
      <c r="C18" s="40" t="n">
        <f aca="false">Допущения!$C$41+(Допущения!$C$42-Допущения!$C$41)*(2-1)/11</f>
        <v>318.181818181818</v>
      </c>
      <c r="D18" s="40" t="n">
        <f aca="false">Допущения!$C$41+(Допущения!$C$42-Допущения!$C$41)*(3-1)/11</f>
        <v>436.363636363636</v>
      </c>
      <c r="E18" s="40" t="n">
        <f aca="false">Допущения!$C$41+(Допущения!$C$42-Допущения!$C$41)*(4-1)/11</f>
        <v>554.545454545455</v>
      </c>
      <c r="F18" s="40" t="n">
        <f aca="false">Допущения!$C$41+(Допущения!$C$42-Допущения!$C$41)*(5-1)/11</f>
        <v>672.727272727273</v>
      </c>
      <c r="G18" s="40" t="n">
        <f aca="false">Допущения!$C$41+(Допущения!$C$42-Допущения!$C$41)*(6-1)/11</f>
        <v>790.909090909091</v>
      </c>
      <c r="H18" s="40" t="n">
        <f aca="false">Допущения!$C$41+(Допущения!$C$42-Допущения!$C$41)*(7-1)/11</f>
        <v>909.090909090909</v>
      </c>
      <c r="I18" s="40" t="n">
        <f aca="false">Допущения!$C$41+(Допущения!$C$42-Допущения!$C$41)*(8-1)/11</f>
        <v>1027.27272727273</v>
      </c>
      <c r="J18" s="40" t="n">
        <f aca="false">Допущения!$C$41+(Допущения!$C$42-Допущения!$C$41)*(9-1)/11</f>
        <v>1145.45454545455</v>
      </c>
      <c r="K18" s="40" t="n">
        <f aca="false">Допущения!$C$41+(Допущения!$C$42-Допущения!$C$41)*(10-1)/11</f>
        <v>1263.63636363636</v>
      </c>
      <c r="L18" s="40" t="n">
        <f aca="false">Допущения!$C$41+(Допущения!$C$42-Допущения!$C$41)*(11-1)/11</f>
        <v>1381.81818181818</v>
      </c>
      <c r="M18" s="40" t="n">
        <f aca="false">Допущения!$C$41+(Допущения!$C$42-Допущения!$C$41)*(12-1)/11</f>
        <v>1500</v>
      </c>
      <c r="N18" s="25" t="n">
        <f aca="false">SUM(B18:M18)</f>
        <v>10200</v>
      </c>
    </row>
    <row r="20" customFormat="false" ht="15" hidden="false" customHeight="false" outlineLevel="0" collapsed="false">
      <c r="A20" s="7" t="s">
        <v>240</v>
      </c>
    </row>
    <row r="21" customFormat="false" ht="15" hidden="false" customHeight="false" outlineLevel="0" collapsed="false">
      <c r="A21" s="20" t="s">
        <v>241</v>
      </c>
      <c r="B21" s="41" t="n">
        <f aca="false">0</f>
        <v>0</v>
      </c>
      <c r="C21" s="41" t="n">
        <f aca="false">0</f>
        <v>0</v>
      </c>
      <c r="D21" s="41" t="n">
        <f aca="false">0</f>
        <v>0</v>
      </c>
      <c r="E21" s="41" t="n">
        <f aca="false">IF(4&lt;Допущения!$C$29,0,D29*Допущения!$C$30*Допущения!$C$31)</f>
        <v>207.064883956364</v>
      </c>
      <c r="F21" s="41" t="n">
        <f aca="false">IF(5&lt;Допущения!$C$29,0,E29*Допущения!$C$30*Допущения!$C$31)</f>
        <v>303.927545085485</v>
      </c>
      <c r="G21" s="41" t="n">
        <f aca="false">IF(6&lt;Допущения!$C$29,0,F29*Допущения!$C$30*Допущения!$C$31)</f>
        <v>392.411410535905</v>
      </c>
      <c r="H21" s="41" t="n">
        <f aca="false">IF(7&lt;Допущения!$C$29,0,G29*Допущения!$C$30*Допущения!$C$31)</f>
        <v>473.303416797767</v>
      </c>
      <c r="I21" s="41" t="n">
        <f aca="false">IF(8&lt;Допущения!$C$29,0,H29*Допущения!$C$30*Допущения!$C$31)</f>
        <v>547.964937787962</v>
      </c>
      <c r="J21" s="41" t="n">
        <f aca="false">IF(9&lt;Допущения!$C$29,0,I29*Допущения!$C$30*Допущения!$C$31)</f>
        <v>616.456213918374</v>
      </c>
      <c r="K21" s="41" t="n">
        <f aca="false">IF(10&lt;Допущения!$C$29,0,J29*Допущения!$C$30*Допущения!$C$31)</f>
        <v>679.352805629522</v>
      </c>
      <c r="L21" s="41" t="n">
        <f aca="false">IF(11&lt;Допущения!$C$29,0,K29*Допущения!$C$30*Допущения!$C$31)</f>
        <v>741.239159085284</v>
      </c>
      <c r="M21" s="41" t="n">
        <f aca="false">IF(12&lt;Допущения!$C$29,0,L29*Допущения!$C$30*Допущения!$C$31)</f>
        <v>798.233368031261</v>
      </c>
      <c r="N21" s="25" t="n">
        <f aca="false">SUM(B21:M21)</f>
        <v>4759.95374082792</v>
      </c>
    </row>
    <row r="23" customFormat="false" ht="15" hidden="false" customHeight="false" outlineLevel="0" collapsed="false">
      <c r="A23" s="42" t="s">
        <v>242</v>
      </c>
      <c r="B23" s="43" t="n">
        <f aca="false">SUM(B8,B11,B15,B18,B21)</f>
        <v>14796.9125</v>
      </c>
      <c r="C23" s="43" t="n">
        <f aca="false">SUM(C8,C11,C15,C18,C21)</f>
        <v>14915.0943181818</v>
      </c>
      <c r="D23" s="43" t="n">
        <f aca="false">SUM(D8,D11,D15,D18,D21)</f>
        <v>15033.2761363636</v>
      </c>
      <c r="E23" s="43" t="n">
        <f aca="false">SUM(E8,E11,E15,E18,E21)</f>
        <v>19337.0311718352</v>
      </c>
      <c r="F23" s="43" t="n">
        <f aca="false">SUM(F8,F11,F15,F18,F21)</f>
        <v>19552.0756511461</v>
      </c>
      <c r="G23" s="43" t="n">
        <f aca="false">SUM(G8,G11,G15,G18,G21)</f>
        <v>19758.7413347783</v>
      </c>
      <c r="H23" s="43" t="n">
        <f aca="false">SUM(H8,H11,H15,H18,H21)</f>
        <v>18153.5509925553</v>
      </c>
      <c r="I23" s="43" t="n">
        <f aca="false">SUM(I8,I11,I15,I18,I21)</f>
        <v>18346.3943317274</v>
      </c>
      <c r="J23" s="43" t="n">
        <f aca="false">SUM(J8,J11,J15,J18,J21)</f>
        <v>18533.0674260396</v>
      </c>
      <c r="K23" s="43" t="n">
        <f aca="false">SUM(K8,K11,K15,K18,K21)</f>
        <v>18030.7825025992</v>
      </c>
      <c r="L23" s="43" t="n">
        <f aca="false">SUM(L8,L11,L15,L18,L21)</f>
        <v>18210.8506742368</v>
      </c>
      <c r="M23" s="43" t="n">
        <f aca="false">SUM(M8,M11,M15,M18,M21)</f>
        <v>18386.0267013646</v>
      </c>
      <c r="N23" s="43" t="n">
        <f aca="false">SUM(B23:M23)</f>
        <v>213053.803740828</v>
      </c>
    </row>
    <row r="24" customFormat="false" ht="15" hidden="false" customHeight="false" outlineLevel="0" collapsed="false">
      <c r="A24" s="32" t="s">
        <v>243</v>
      </c>
      <c r="B24" s="41" t="n">
        <f aca="false">SUM($B$23:B23)</f>
        <v>14796.9125</v>
      </c>
      <c r="C24" s="41" t="n">
        <f aca="false">SUM($B$23:C23)</f>
        <v>29712.0068181818</v>
      </c>
      <c r="D24" s="41" t="n">
        <f aca="false">SUM($B$23:D23)</f>
        <v>44745.2829545455</v>
      </c>
      <c r="E24" s="41" t="n">
        <f aca="false">SUM($B$23:E23)</f>
        <v>64082.3141263806</v>
      </c>
      <c r="F24" s="41" t="n">
        <f aca="false">SUM($B$23:F23)</f>
        <v>83634.3897775267</v>
      </c>
      <c r="G24" s="41" t="n">
        <f aca="false">SUM($B$23:G23)</f>
        <v>103393.131112305</v>
      </c>
      <c r="H24" s="41" t="n">
        <f aca="false">SUM($B$23:H23)</f>
        <v>121546.68210486</v>
      </c>
      <c r="I24" s="41" t="n">
        <f aca="false">SUM($B$23:I23)</f>
        <v>139893.076436588</v>
      </c>
      <c r="J24" s="41" t="n">
        <f aca="false">SUM($B$23:J23)</f>
        <v>158426.143862627</v>
      </c>
      <c r="K24" s="41" t="n">
        <f aca="false">SUM($B$23:K23)</f>
        <v>176456.926365227</v>
      </c>
      <c r="L24" s="41" t="n">
        <f aca="false">SUM($B$23:L23)</f>
        <v>194667.777039463</v>
      </c>
      <c r="M24" s="41" t="n">
        <f aca="false">SUM($B$23:M23)</f>
        <v>213053.803740828</v>
      </c>
    </row>
    <row r="26" customFormat="false" ht="21.75" hidden="false" customHeight="true" outlineLevel="0" collapsed="false">
      <c r="A26" s="5" t="s">
        <v>244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44" t="s">
        <v>245</v>
      </c>
      <c r="B27" s="45" t="n">
        <f aca="false">Допущения!$C$47</f>
        <v>0.32</v>
      </c>
      <c r="C27" s="45" t="n">
        <f aca="false">Допущения!$C$47</f>
        <v>0.32</v>
      </c>
      <c r="D27" s="45" t="n">
        <f aca="false">Допущения!$C$47</f>
        <v>0.32</v>
      </c>
      <c r="E27" s="45" t="n">
        <f aca="false">Допущения!$C$48</f>
        <v>0.38</v>
      </c>
      <c r="F27" s="45" t="n">
        <f aca="false">Допущения!$C$48</f>
        <v>0.38</v>
      </c>
      <c r="G27" s="45" t="n">
        <f aca="false">Допущения!$C$48</f>
        <v>0.38</v>
      </c>
      <c r="H27" s="45" t="n">
        <f aca="false">Допущения!$C$49</f>
        <v>0.42</v>
      </c>
      <c r="I27" s="45" t="n">
        <f aca="false">Допущения!$C$49</f>
        <v>0.42</v>
      </c>
      <c r="J27" s="45" t="n">
        <f aca="false">Допущения!$C$49</f>
        <v>0.42</v>
      </c>
      <c r="K27" s="45" t="n">
        <f aca="false">Допущения!$C$50</f>
        <v>0.45</v>
      </c>
      <c r="L27" s="45" t="n">
        <f aca="false">Допущения!$C$50</f>
        <v>0.45</v>
      </c>
      <c r="M27" s="45" t="n">
        <f aca="false">Допущения!$C$50</f>
        <v>0.45</v>
      </c>
    </row>
    <row r="28" customFormat="false" ht="15" hidden="false" customHeight="false" outlineLevel="0" collapsed="false">
      <c r="A28" s="22" t="s">
        <v>246</v>
      </c>
      <c r="B28" s="45" t="n">
        <f aca="false">Допущения!$C$53</f>
        <v>0.9</v>
      </c>
      <c r="C28" s="45" t="n">
        <f aca="false">Допущения!$C$53</f>
        <v>0.9</v>
      </c>
      <c r="D28" s="45" t="n">
        <f aca="false">Допущения!$C$53</f>
        <v>0.9</v>
      </c>
      <c r="E28" s="45" t="n">
        <f aca="false">Допущения!$C$53</f>
        <v>0.9</v>
      </c>
      <c r="F28" s="45" t="n">
        <f aca="false">Допущения!$C$53</f>
        <v>0.9</v>
      </c>
      <c r="G28" s="45" t="n">
        <f aca="false">Допущения!$C$53</f>
        <v>0.9</v>
      </c>
      <c r="H28" s="45" t="n">
        <f aca="false">Допущения!$C$53</f>
        <v>0.9</v>
      </c>
      <c r="I28" s="45" t="n">
        <f aca="false">Допущения!$C$53</f>
        <v>0.9</v>
      </c>
      <c r="J28" s="45" t="n">
        <f aca="false">Допущения!$C$53</f>
        <v>0.9</v>
      </c>
      <c r="K28" s="45" t="n">
        <f aca="false">Допущения!$C$53</f>
        <v>0.9</v>
      </c>
      <c r="L28" s="45" t="n">
        <f aca="false">Допущения!$C$53</f>
        <v>0.9</v>
      </c>
      <c r="M28" s="45" t="n">
        <f aca="false">Допущения!$C$53</f>
        <v>0.9</v>
      </c>
    </row>
    <row r="29" customFormat="false" ht="15" hidden="false" customHeight="false" outlineLevel="0" collapsed="false">
      <c r="A29" s="46" t="s">
        <v>247</v>
      </c>
      <c r="B29" s="25" t="n">
        <f aca="false">B23*B27</f>
        <v>4735.012</v>
      </c>
      <c r="C29" s="25" t="n">
        <f aca="false">B29*C28+C23*C27</f>
        <v>9034.34098181818</v>
      </c>
      <c r="D29" s="25" t="n">
        <f aca="false">C29*D28+D23*D27</f>
        <v>12941.5552472727</v>
      </c>
      <c r="E29" s="25" t="n">
        <f aca="false">D29*E28+E23*E27</f>
        <v>18995.4715678428</v>
      </c>
      <c r="F29" s="25" t="n">
        <f aca="false">E29*F28+F23*F27</f>
        <v>24525.7131584941</v>
      </c>
      <c r="G29" s="25" t="n">
        <f aca="false">F29*G28+G23*G27</f>
        <v>29581.4635498604</v>
      </c>
      <c r="H29" s="25" t="n">
        <f aca="false">G29*H28+H23*H27</f>
        <v>34247.8086117476</v>
      </c>
      <c r="I29" s="25" t="n">
        <f aca="false">H29*I28+I23*I27</f>
        <v>38528.5133698983</v>
      </c>
      <c r="J29" s="25" t="n">
        <f aca="false">I29*J28+J23*J27</f>
        <v>42459.5503518451</v>
      </c>
      <c r="K29" s="25" t="n">
        <f aca="false">J29*K28+K23*K27</f>
        <v>46327.4474428303</v>
      </c>
      <c r="L29" s="25" t="n">
        <f aca="false">K29*L28+L23*L27</f>
        <v>49889.5855019538</v>
      </c>
      <c r="M29" s="25" t="n">
        <f aca="false">L29*M28+M23*M27</f>
        <v>53174.3389673725</v>
      </c>
    </row>
    <row r="30" customFormat="false" ht="15" hidden="false" customHeight="false" outlineLevel="0" collapsed="false">
      <c r="A30" s="7" t="s">
        <v>248</v>
      </c>
      <c r="B30" s="43" t="n">
        <f aca="false">B29*Допущения!$C$51*Допущения!$C$52</f>
        <v>2130.7554</v>
      </c>
      <c r="C30" s="43" t="n">
        <f aca="false">C29*Допущения!$C$51*Допущения!$C$52</f>
        <v>4065.45344181818</v>
      </c>
      <c r="D30" s="43" t="n">
        <f aca="false">D29*Допущения!$C$51*Допущения!$C$52</f>
        <v>5823.69986127273</v>
      </c>
      <c r="E30" s="43" t="n">
        <f aca="false">E29*Допущения!$C$51*Допущения!$C$52</f>
        <v>8547.96220552927</v>
      </c>
      <c r="F30" s="43" t="n">
        <f aca="false">F29*Допущения!$C$51*Допущения!$C$52</f>
        <v>11036.5709213223</v>
      </c>
      <c r="G30" s="43" t="n">
        <f aca="false">G29*Допущения!$C$51*Допущения!$C$52</f>
        <v>13311.6585974372</v>
      </c>
      <c r="H30" s="43" t="n">
        <f aca="false">H29*Допущения!$C$51*Допущения!$C$52</f>
        <v>15411.5138752864</v>
      </c>
      <c r="I30" s="43" t="n">
        <f aca="false">I29*Допущения!$C$51*Допущения!$C$52</f>
        <v>17337.8310164543</v>
      </c>
      <c r="J30" s="43" t="n">
        <f aca="false">J29*Допущения!$C$51*Допущения!$C$52</f>
        <v>19106.7976583303</v>
      </c>
      <c r="K30" s="43" t="n">
        <f aca="false">K29*Допущения!$C$51*Допущения!$C$52</f>
        <v>20847.3513492736</v>
      </c>
      <c r="L30" s="43" t="n">
        <f aca="false">L29*Допущения!$C$51*Допущения!$C$52</f>
        <v>22450.3134758792</v>
      </c>
      <c r="M30" s="43" t="n">
        <f aca="false">M29*Допущения!$C$51*Допущения!$C$52</f>
        <v>23928.4525353176</v>
      </c>
    </row>
    <row r="32" customFormat="false" ht="21.75" hidden="false" customHeight="true" outlineLevel="0" collapsed="false">
      <c r="A32" s="5" t="s">
        <v>249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44" t="s">
        <v>250</v>
      </c>
      <c r="B33" s="47" t="s">
        <v>251</v>
      </c>
      <c r="C33" s="47" t="s">
        <v>251</v>
      </c>
      <c r="D33" s="21" t="n">
        <v>5000</v>
      </c>
      <c r="E33" s="47" t="s">
        <v>251</v>
      </c>
      <c r="F33" s="47" t="s">
        <v>251</v>
      </c>
      <c r="G33" s="21" t="n">
        <v>25000</v>
      </c>
      <c r="H33" s="47" t="s">
        <v>251</v>
      </c>
      <c r="I33" s="47" t="s">
        <v>251</v>
      </c>
      <c r="J33" s="21" t="n">
        <v>50000</v>
      </c>
      <c r="K33" s="47" t="s">
        <v>251</v>
      </c>
      <c r="L33" s="47" t="s">
        <v>251</v>
      </c>
      <c r="M33" s="21" t="n">
        <v>80000</v>
      </c>
    </row>
    <row r="34" customFormat="false" ht="15" hidden="false" customHeight="false" outlineLevel="0" collapsed="false">
      <c r="A34" s="44" t="s">
        <v>252</v>
      </c>
      <c r="B34" s="48"/>
      <c r="C34" s="48"/>
      <c r="D34" s="25" t="n">
        <f aca="false">D30</f>
        <v>5823.69986127273</v>
      </c>
      <c r="E34" s="48"/>
      <c r="F34" s="48"/>
      <c r="G34" s="25" t="n">
        <f aca="false">G30</f>
        <v>13311.6585974372</v>
      </c>
      <c r="H34" s="48"/>
      <c r="I34" s="48"/>
      <c r="J34" s="25" t="n">
        <f aca="false">J30</f>
        <v>19106.7976583303</v>
      </c>
      <c r="K34" s="48"/>
      <c r="L34" s="48"/>
      <c r="M34" s="25" t="n">
        <f aca="false">M30</f>
        <v>23928.4525353176</v>
      </c>
    </row>
    <row r="35" customFormat="false" ht="15" hidden="false" customHeight="false" outlineLevel="0" collapsed="false">
      <c r="A35" s="44" t="s">
        <v>253</v>
      </c>
      <c r="D35" s="49" t="n">
        <f aca="false">(D34-D33)/D33</f>
        <v>0.164739972254546</v>
      </c>
      <c r="G35" s="49" t="n">
        <f aca="false">(G34-G33)/G33</f>
        <v>-0.467533656102513</v>
      </c>
      <c r="J35" s="49" t="n">
        <f aca="false">(J34-J33)/J33</f>
        <v>-0.617864046833394</v>
      </c>
      <c r="M35" s="49" t="n">
        <f aca="false">(M34-M33)/M33</f>
        <v>-0.70089434330853</v>
      </c>
    </row>
    <row r="37" customFormat="false" ht="15" hidden="false" customHeight="false" outlineLevel="0" collapsed="false">
      <c r="A37" s="22" t="s">
        <v>254</v>
      </c>
      <c r="D37" s="41" t="n">
        <f aca="false">D24</f>
        <v>44745.2829545455</v>
      </c>
      <c r="G37" s="41" t="n">
        <f aca="false">G24</f>
        <v>103393.131112305</v>
      </c>
      <c r="J37" s="41" t="n">
        <f aca="false">J24</f>
        <v>158426.143862627</v>
      </c>
      <c r="M37" s="41" t="n">
        <f aca="false">M24</f>
        <v>213053.803740828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3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33" t="s">
        <v>255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.75" hidden="false" customHeight="true" outlineLevel="0" collapsed="false">
      <c r="B4" s="34" t="s">
        <v>213</v>
      </c>
      <c r="C4" s="34" t="s">
        <v>213</v>
      </c>
      <c r="D4" s="34" t="s">
        <v>213</v>
      </c>
      <c r="E4" s="35" t="s">
        <v>214</v>
      </c>
      <c r="F4" s="35" t="s">
        <v>214</v>
      </c>
      <c r="G4" s="35" t="s">
        <v>214</v>
      </c>
      <c r="H4" s="36" t="s">
        <v>215</v>
      </c>
      <c r="I4" s="36" t="s">
        <v>215</v>
      </c>
      <c r="J4" s="36" t="s">
        <v>215</v>
      </c>
      <c r="K4" s="37" t="s">
        <v>216</v>
      </c>
      <c r="L4" s="37" t="s">
        <v>216</v>
      </c>
      <c r="M4" s="37" t="s">
        <v>216</v>
      </c>
    </row>
    <row r="5" customFormat="false" ht="31.5" hidden="false" customHeight="true" outlineLevel="0" collapsed="false">
      <c r="B5" s="38" t="s">
        <v>217</v>
      </c>
      <c r="C5" s="38" t="s">
        <v>218</v>
      </c>
      <c r="D5" s="38" t="s">
        <v>219</v>
      </c>
      <c r="E5" s="38" t="s">
        <v>220</v>
      </c>
      <c r="F5" s="38" t="s">
        <v>221</v>
      </c>
      <c r="G5" s="38" t="s">
        <v>222</v>
      </c>
      <c r="H5" s="38" t="s">
        <v>223</v>
      </c>
      <c r="I5" s="38" t="s">
        <v>224</v>
      </c>
      <c r="J5" s="38" t="s">
        <v>225</v>
      </c>
      <c r="K5" s="38" t="s">
        <v>226</v>
      </c>
      <c r="L5" s="38" t="s">
        <v>227</v>
      </c>
      <c r="M5" s="38" t="s">
        <v>228</v>
      </c>
      <c r="N5" s="39" t="s">
        <v>229</v>
      </c>
    </row>
    <row r="6" customFormat="false" ht="21.75" hidden="false" customHeight="true" outlineLevel="0" collapsed="false">
      <c r="A6" s="5" t="s">
        <v>256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22" t="s">
        <v>257</v>
      </c>
      <c r="B7" s="40" t="n">
        <f aca="false">Воронка!B30</f>
        <v>2130.7554</v>
      </c>
      <c r="C7" s="40" t="n">
        <f aca="false">Воронка!C30</f>
        <v>4065.45344181818</v>
      </c>
      <c r="D7" s="40" t="n">
        <f aca="false">Воронка!D30</f>
        <v>5823.69986127273</v>
      </c>
      <c r="E7" s="40" t="n">
        <f aca="false">Воронка!E30</f>
        <v>8547.96220552927</v>
      </c>
      <c r="F7" s="40" t="n">
        <f aca="false">Воронка!F30</f>
        <v>11036.5709213223</v>
      </c>
      <c r="G7" s="40" t="n">
        <f aca="false">Воронка!G30</f>
        <v>13311.6585974372</v>
      </c>
      <c r="H7" s="40" t="n">
        <f aca="false">Воронка!H30</f>
        <v>15411.5138752864</v>
      </c>
      <c r="I7" s="40" t="n">
        <f aca="false">Воронка!I30</f>
        <v>17337.8310164543</v>
      </c>
      <c r="J7" s="40" t="n">
        <f aca="false">Воронка!J30</f>
        <v>19106.7976583303</v>
      </c>
      <c r="K7" s="40" t="n">
        <f aca="false">Воронка!K30</f>
        <v>20847.3513492736</v>
      </c>
      <c r="L7" s="40" t="n">
        <f aca="false">Воронка!L30</f>
        <v>22450.3134758792</v>
      </c>
      <c r="M7" s="40" t="n">
        <f aca="false">Воронка!M30</f>
        <v>23928.4525353176</v>
      </c>
    </row>
    <row r="8" customFormat="false" ht="15" hidden="false" customHeight="false" outlineLevel="0" collapsed="false">
      <c r="A8" s="22" t="s">
        <v>258</v>
      </c>
      <c r="B8" s="45" t="n">
        <f aca="false">Допущения!$C$59</f>
        <v>0.001</v>
      </c>
      <c r="C8" s="45" t="n">
        <f aca="false">Допущения!$C$59</f>
        <v>0.001</v>
      </c>
      <c r="D8" s="45" t="n">
        <f aca="false">Допущения!$C$59</f>
        <v>0.001</v>
      </c>
      <c r="E8" s="45" t="n">
        <f aca="false">Допущения!$C$60</f>
        <v>0.002</v>
      </c>
      <c r="F8" s="45" t="n">
        <f aca="false">Допущения!$C$60</f>
        <v>0.002</v>
      </c>
      <c r="G8" s="45" t="n">
        <f aca="false">Допущения!$C$60</f>
        <v>0.002</v>
      </c>
      <c r="H8" s="45" t="n">
        <f aca="false">Допущения!$C$61</f>
        <v>0.003</v>
      </c>
      <c r="I8" s="45" t="n">
        <f aca="false">Допущения!$C$61</f>
        <v>0.003</v>
      </c>
      <c r="J8" s="45" t="n">
        <f aca="false">Допущения!$C$61</f>
        <v>0.003</v>
      </c>
      <c r="K8" s="45" t="n">
        <f aca="false">Допущения!$C$62</f>
        <v>0.004</v>
      </c>
      <c r="L8" s="45" t="n">
        <f aca="false">Допущения!$C$62</f>
        <v>0.004</v>
      </c>
      <c r="M8" s="45" t="n">
        <f aca="false">Допущения!$C$62</f>
        <v>0.004</v>
      </c>
    </row>
    <row r="9" customFormat="false" ht="15" hidden="false" customHeight="false" outlineLevel="0" collapsed="false">
      <c r="A9" s="7" t="s">
        <v>259</v>
      </c>
      <c r="B9" s="25" t="n">
        <f aca="false">B7*B8</f>
        <v>2.1307554</v>
      </c>
      <c r="C9" s="25" t="n">
        <f aca="false">C7*C8</f>
        <v>4.06545344181818</v>
      </c>
      <c r="D9" s="25" t="n">
        <f aca="false">D7*D8</f>
        <v>5.82369986127273</v>
      </c>
      <c r="E9" s="25" t="n">
        <f aca="false">E7*E8</f>
        <v>17.0959244110585</v>
      </c>
      <c r="F9" s="25" t="n">
        <f aca="false">F7*F8</f>
        <v>22.0731418426447</v>
      </c>
      <c r="G9" s="25" t="n">
        <f aca="false">G7*G8</f>
        <v>26.6233171948744</v>
      </c>
      <c r="H9" s="25" t="n">
        <f aca="false">H7*H8</f>
        <v>46.2345416258593</v>
      </c>
      <c r="I9" s="25" t="n">
        <f aca="false">I7*I8</f>
        <v>52.0134930493628</v>
      </c>
      <c r="J9" s="25" t="n">
        <f aca="false">J7*J8</f>
        <v>57.3203929749909</v>
      </c>
      <c r="K9" s="25" t="n">
        <f aca="false">K7*K8</f>
        <v>83.3894053970945</v>
      </c>
      <c r="L9" s="25" t="n">
        <f aca="false">L7*L8</f>
        <v>89.8012539035169</v>
      </c>
      <c r="M9" s="25" t="n">
        <f aca="false">M7*M8</f>
        <v>95.7138101412705</v>
      </c>
      <c r="N9" s="25" t="n">
        <f aca="false">SUM(B9:M9)</f>
        <v>502.285189243763</v>
      </c>
    </row>
    <row r="10" customFormat="false" ht="15" hidden="false" customHeight="false" outlineLevel="0" collapsed="false">
      <c r="A10" s="22" t="s">
        <v>260</v>
      </c>
      <c r="B10" s="45" t="n">
        <f aca="false">Допущения!$C$63</f>
        <v>0.08</v>
      </c>
      <c r="C10" s="45" t="n">
        <f aca="false">Допущения!$C$63</f>
        <v>0.08</v>
      </c>
      <c r="D10" s="45" t="n">
        <f aca="false">Допущения!$C$63</f>
        <v>0.08</v>
      </c>
      <c r="E10" s="45" t="n">
        <f aca="false">Допущения!$C$63</f>
        <v>0.08</v>
      </c>
      <c r="F10" s="45" t="n">
        <f aca="false">Допущения!$C$63</f>
        <v>0.08</v>
      </c>
      <c r="G10" s="45" t="n">
        <f aca="false">Допущения!$C$63</f>
        <v>0.08</v>
      </c>
      <c r="H10" s="45" t="n">
        <f aca="false">Допущения!$C$64</f>
        <v>0.06</v>
      </c>
      <c r="I10" s="45" t="n">
        <f aca="false">Допущения!$C$64</f>
        <v>0.06</v>
      </c>
      <c r="J10" s="45" t="n">
        <f aca="false">Допущения!$C$64</f>
        <v>0.06</v>
      </c>
      <c r="K10" s="45" t="n">
        <f aca="false">Допущения!$C$64</f>
        <v>0.06</v>
      </c>
      <c r="L10" s="45" t="n">
        <f aca="false">Допущения!$C$64</f>
        <v>0.06</v>
      </c>
      <c r="M10" s="45" t="n">
        <f aca="false">Допущения!$C$64</f>
        <v>0.06</v>
      </c>
    </row>
    <row r="11" customFormat="false" ht="15" hidden="false" customHeight="false" outlineLevel="0" collapsed="false">
      <c r="A11" s="44" t="s">
        <v>261</v>
      </c>
      <c r="B11" s="41" t="n">
        <f aca="false">0</f>
        <v>0</v>
      </c>
      <c r="C11" s="41" t="n">
        <f aca="false">-B12*C10</f>
        <v>-0.170460432</v>
      </c>
      <c r="D11" s="41" t="n">
        <f aca="false">-C12*D10</f>
        <v>-0.482059872785455</v>
      </c>
      <c r="E11" s="41" t="n">
        <f aca="false">-D12*E10</f>
        <v>-0.909391071864437</v>
      </c>
      <c r="F11" s="41" t="n">
        <f aca="false">-E12*F10</f>
        <v>-2.20431373899996</v>
      </c>
      <c r="G11" s="41" t="n">
        <f aca="false">-F12*G10</f>
        <v>-3.79381998729154</v>
      </c>
      <c r="H11" s="41" t="n">
        <f aca="false">-G12*H10</f>
        <v>-4.21513482292362</v>
      </c>
      <c r="I11" s="41" t="n">
        <f aca="false">-H12*I10</f>
        <v>-6.73629923109976</v>
      </c>
      <c r="J11" s="41" t="n">
        <f aca="false">-I12*J10</f>
        <v>-9.45293086019554</v>
      </c>
      <c r="K11" s="41" t="n">
        <f aca="false">-J12*K10</f>
        <v>-12.3249785870833</v>
      </c>
      <c r="L11" s="41" t="n">
        <f aca="false">-K12*L10</f>
        <v>-16.5888441956839</v>
      </c>
      <c r="M11" s="41" t="n">
        <f aca="false">-L12*M10</f>
        <v>-20.9815887781539</v>
      </c>
      <c r="N11" s="41" t="n">
        <f aca="false">SUM(B11:M11)</f>
        <v>-77.8598215780814</v>
      </c>
    </row>
    <row r="12" customFormat="false" ht="15" hidden="false" customHeight="false" outlineLevel="0" collapsed="false">
      <c r="A12" s="7" t="s">
        <v>262</v>
      </c>
      <c r="B12" s="43" t="n">
        <f aca="false">B9</f>
        <v>2.1307554</v>
      </c>
      <c r="C12" s="43" t="n">
        <f aca="false">B12+C9+C11</f>
        <v>6.02574840981818</v>
      </c>
      <c r="D12" s="43" t="n">
        <f aca="false">C12+D9+D11</f>
        <v>11.3673883983055</v>
      </c>
      <c r="E12" s="43" t="n">
        <f aca="false">D12+E9+E11</f>
        <v>27.5539217374996</v>
      </c>
      <c r="F12" s="43" t="n">
        <f aca="false">E12+F9+F11</f>
        <v>47.4227498411442</v>
      </c>
      <c r="G12" s="43" t="n">
        <f aca="false">F12+G9+G11</f>
        <v>70.2522470487271</v>
      </c>
      <c r="H12" s="43" t="n">
        <f aca="false">G12+H9+H11</f>
        <v>112.271653851663</v>
      </c>
      <c r="I12" s="43" t="n">
        <f aca="false">H12+I9+I11</f>
        <v>157.548847669926</v>
      </c>
      <c r="J12" s="43" t="n">
        <f aca="false">I12+J9+J11</f>
        <v>205.416309784721</v>
      </c>
      <c r="K12" s="43" t="n">
        <f aca="false">J12+K9+K11</f>
        <v>276.480736594732</v>
      </c>
      <c r="L12" s="43" t="n">
        <f aca="false">K12+L9+L11</f>
        <v>349.693146302565</v>
      </c>
      <c r="M12" s="43" t="n">
        <f aca="false">L12+M9+M11</f>
        <v>424.425367665682</v>
      </c>
    </row>
    <row r="13" customFormat="false" ht="15" hidden="false" customHeight="false" outlineLevel="0" collapsed="false">
      <c r="A13" s="22" t="s">
        <v>263</v>
      </c>
      <c r="B13" s="40" t="n">
        <f aca="false">Допущения!$C$56*(1-Допущения!$C$58*Допущения!$C$57)</f>
        <v>1365</v>
      </c>
      <c r="C13" s="40" t="n">
        <f aca="false">Допущения!$C$56*(1-Допущения!$C$58*Допущения!$C$57)</f>
        <v>1365</v>
      </c>
      <c r="D13" s="40" t="n">
        <f aca="false">Допущения!$C$56*(1-Допущения!$C$58*Допущения!$C$57)</f>
        <v>1365</v>
      </c>
      <c r="E13" s="40" t="n">
        <f aca="false">Допущения!$C$56*(1-Допущения!$C$58*Допущения!$C$57)</f>
        <v>1365</v>
      </c>
      <c r="F13" s="40" t="n">
        <f aca="false">Допущения!$C$56*(1-Допущения!$C$58*Допущения!$C$57)</f>
        <v>1365</v>
      </c>
      <c r="G13" s="40" t="n">
        <f aca="false">Допущения!$C$56*(1-Допущения!$C$58*Допущения!$C$57)</f>
        <v>1365</v>
      </c>
      <c r="H13" s="40" t="n">
        <f aca="false">Допущения!$C$56*(1-Допущения!$C$58*Допущения!$C$57)</f>
        <v>1365</v>
      </c>
      <c r="I13" s="40" t="n">
        <f aca="false">Допущения!$C$56*(1-Допущения!$C$58*Допущения!$C$57)</f>
        <v>1365</v>
      </c>
      <c r="J13" s="40" t="n">
        <f aca="false">Допущения!$C$56*(1-Допущения!$C$58*Допущения!$C$57)</f>
        <v>1365</v>
      </c>
      <c r="K13" s="40" t="n">
        <f aca="false">Допущения!$C$56*(1-Допущения!$C$58*Допущения!$C$57)</f>
        <v>1365</v>
      </c>
      <c r="L13" s="40" t="n">
        <f aca="false">Допущения!$C$56*(1-Допущения!$C$58*Допущения!$C$57)</f>
        <v>1365</v>
      </c>
      <c r="M13" s="40" t="n">
        <f aca="false">Допущения!$C$56*(1-Допущения!$C$58*Допущения!$C$57)</f>
        <v>1365</v>
      </c>
    </row>
    <row r="14" customFormat="false" ht="15" hidden="false" customHeight="false" outlineLevel="0" collapsed="false">
      <c r="A14" s="46" t="s">
        <v>264</v>
      </c>
      <c r="B14" s="25" t="n">
        <f aca="false">B12*B13</f>
        <v>2908.481121</v>
      </c>
      <c r="C14" s="25" t="n">
        <f aca="false">C12*C13</f>
        <v>8225.14657940182</v>
      </c>
      <c r="D14" s="25" t="n">
        <f aca="false">D12*D13</f>
        <v>15516.485163687</v>
      </c>
      <c r="E14" s="25" t="n">
        <f aca="false">E12*E13</f>
        <v>37611.1031716869</v>
      </c>
      <c r="F14" s="25" t="n">
        <f aca="false">F12*F13</f>
        <v>64732.0535331619</v>
      </c>
      <c r="G14" s="25" t="n">
        <f aca="false">G12*G13</f>
        <v>95894.3172215125</v>
      </c>
      <c r="H14" s="25" t="n">
        <f aca="false">H12*H13</f>
        <v>153250.80750752</v>
      </c>
      <c r="I14" s="25" t="n">
        <f aca="false">I12*I13</f>
        <v>215054.177069449</v>
      </c>
      <c r="J14" s="25" t="n">
        <f aca="false">J12*J13</f>
        <v>280393.262856144</v>
      </c>
      <c r="K14" s="25" t="n">
        <f aca="false">K12*K13</f>
        <v>377396.20545181</v>
      </c>
      <c r="L14" s="25" t="n">
        <f aca="false">L12*L13</f>
        <v>477331.144703002</v>
      </c>
      <c r="M14" s="25" t="n">
        <f aca="false">M12*M13</f>
        <v>579340.626863656</v>
      </c>
    </row>
    <row r="15" customFormat="false" ht="15" hidden="false" customHeight="false" outlineLevel="0" collapsed="false">
      <c r="A15" s="44" t="s">
        <v>265</v>
      </c>
      <c r="B15" s="41" t="n">
        <f aca="false">B14*12</f>
        <v>34901.773452</v>
      </c>
      <c r="C15" s="41" t="n">
        <f aca="false">C14*12</f>
        <v>98701.7589528218</v>
      </c>
      <c r="D15" s="41" t="n">
        <f aca="false">D14*12</f>
        <v>186197.821964243</v>
      </c>
      <c r="E15" s="41" t="n">
        <f aca="false">E14*12</f>
        <v>451333.238060243</v>
      </c>
      <c r="F15" s="41" t="n">
        <f aca="false">F14*12</f>
        <v>776784.642397943</v>
      </c>
      <c r="G15" s="41" t="n">
        <f aca="false">G14*12</f>
        <v>1150731.80665815</v>
      </c>
      <c r="H15" s="41" t="n">
        <f aca="false">H14*12</f>
        <v>1839009.69009024</v>
      </c>
      <c r="I15" s="41" t="n">
        <f aca="false">I14*12</f>
        <v>2580650.12483338</v>
      </c>
      <c r="J15" s="41" t="n">
        <f aca="false">J14*12</f>
        <v>3364719.15427373</v>
      </c>
      <c r="K15" s="41" t="n">
        <f aca="false">K14*12</f>
        <v>4528754.46542172</v>
      </c>
      <c r="L15" s="41" t="n">
        <f aca="false">L14*12</f>
        <v>5727973.73643602</v>
      </c>
      <c r="M15" s="41" t="n">
        <f aca="false">M14*12</f>
        <v>6952087.52236387</v>
      </c>
    </row>
    <row r="17" customFormat="false" ht="21.75" hidden="false" customHeight="true" outlineLevel="0" collapsed="false">
      <c r="A17" s="5" t="s">
        <v>266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14" t="s">
        <v>267</v>
      </c>
      <c r="B18" s="25" t="n">
        <f aca="false">B14</f>
        <v>2908.481121</v>
      </c>
      <c r="C18" s="25" t="n">
        <f aca="false">C14</f>
        <v>8225.14657940182</v>
      </c>
      <c r="D18" s="25" t="n">
        <f aca="false">D14</f>
        <v>15516.485163687</v>
      </c>
      <c r="E18" s="25" t="n">
        <f aca="false">E14</f>
        <v>37611.1031716869</v>
      </c>
      <c r="F18" s="25" t="n">
        <f aca="false">F14</f>
        <v>64732.0535331619</v>
      </c>
      <c r="G18" s="25" t="n">
        <f aca="false">G14</f>
        <v>95894.3172215125</v>
      </c>
      <c r="H18" s="25" t="n">
        <f aca="false">H14</f>
        <v>153250.80750752</v>
      </c>
      <c r="I18" s="25" t="n">
        <f aca="false">I14</f>
        <v>215054.177069449</v>
      </c>
      <c r="J18" s="25" t="n">
        <f aca="false">J14</f>
        <v>280393.262856144</v>
      </c>
      <c r="K18" s="25" t="n">
        <f aca="false">K14</f>
        <v>377396.20545181</v>
      </c>
      <c r="L18" s="25" t="n">
        <f aca="false">L14</f>
        <v>477331.144703002</v>
      </c>
      <c r="M18" s="25" t="n">
        <f aca="false">M14</f>
        <v>579340.626863656</v>
      </c>
      <c r="N18" s="25" t="n">
        <f aca="false">SUM(B18:M18)</f>
        <v>2307653.81124203</v>
      </c>
    </row>
    <row r="19" customFormat="false" ht="15" hidden="false" customHeight="false" outlineLevel="0" collapsed="false">
      <c r="A19" s="32" t="s">
        <v>268</v>
      </c>
      <c r="B19" s="41" t="n">
        <f aca="false">B9*Допущения!$C$58*(Допущения!$C$56*12*(1-Допущения!$C$57)-B13)</f>
        <v>7181.7110757</v>
      </c>
      <c r="C19" s="41" t="n">
        <f aca="false">C9*Допущения!$C$58*(Допущения!$C$56*12*(1-Допущения!$C$57)-C13)</f>
        <v>13702.6108256482</v>
      </c>
      <c r="D19" s="41" t="n">
        <f aca="false">D9*Допущения!$C$58*(Допущения!$C$56*12*(1-Допущения!$C$57)-D13)</f>
        <v>19628.7803824197</v>
      </c>
      <c r="E19" s="41" t="n">
        <f aca="false">E9*Допущения!$C$58*(Допущения!$C$56*12*(1-Допущения!$C$57)-E13)</f>
        <v>57621.8132274728</v>
      </c>
      <c r="F19" s="41" t="n">
        <f aca="false">F9*Допущения!$C$58*(Допущения!$C$56*12*(1-Допущения!$C$57)-F13)</f>
        <v>74397.5245806338</v>
      </c>
      <c r="G19" s="41" t="n">
        <f aca="false">G9*Допущения!$C$58*(Допущения!$C$56*12*(1-Допущения!$C$57)-G13)</f>
        <v>89733.8906053241</v>
      </c>
      <c r="H19" s="41" t="n">
        <f aca="false">H9*Допущения!$C$58*(Допущения!$C$56*12*(1-Допущения!$C$57)-H13)</f>
        <v>155833.522549959</v>
      </c>
      <c r="I19" s="41" t="n">
        <f aca="false">I9*Допущения!$C$58*(Допущения!$C$56*12*(1-Допущения!$C$57)-I13)</f>
        <v>175311.478322877</v>
      </c>
      <c r="J19" s="41" t="n">
        <f aca="false">J9*Допущения!$C$58*(Допущения!$C$56*12*(1-Допущения!$C$57)-J13)</f>
        <v>193198.384522207</v>
      </c>
      <c r="K19" s="41" t="n">
        <f aca="false">K9*Допущения!$C$58*(Допущения!$C$56*12*(1-Допущения!$C$57)-K13)</f>
        <v>281063.990890907</v>
      </c>
      <c r="L19" s="41" t="n">
        <f aca="false">L9*Допущения!$C$58*(Допущения!$C$56*12*(1-Допущения!$C$57)-L13)</f>
        <v>302675.126281804</v>
      </c>
      <c r="M19" s="41" t="n">
        <f aca="false">M9*Допущения!$C$58*(Допущения!$C$56*12*(1-Допущения!$C$57)-M13)</f>
        <v>322603.397081152</v>
      </c>
      <c r="N19" s="41" t="n">
        <f aca="false">SUM(B19:M19)</f>
        <v>1692952.2303461</v>
      </c>
    </row>
    <row r="21" customFormat="false" ht="21.75" hidden="false" customHeight="true" outlineLevel="0" collapsed="false">
      <c r="A21" s="5" t="s">
        <v>269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22" t="s">
        <v>270</v>
      </c>
      <c r="B22" s="21" t="n">
        <v>0</v>
      </c>
      <c r="C22" s="21" t="n">
        <v>0</v>
      </c>
      <c r="D22" s="21" t="n">
        <v>1</v>
      </c>
      <c r="E22" s="21" t="n">
        <v>1</v>
      </c>
      <c r="F22" s="21" t="n">
        <v>1</v>
      </c>
      <c r="G22" s="21" t="n">
        <v>1</v>
      </c>
      <c r="H22" s="21" t="n">
        <v>1</v>
      </c>
      <c r="I22" s="21" t="n">
        <v>2</v>
      </c>
      <c r="J22" s="21" t="n">
        <v>1</v>
      </c>
      <c r="K22" s="21" t="n">
        <v>1</v>
      </c>
      <c r="L22" s="21" t="n">
        <v>2</v>
      </c>
      <c r="M22" s="21" t="n">
        <v>1</v>
      </c>
      <c r="N22" s="25" t="n">
        <f aca="false">SUM(B22:M22)</f>
        <v>12</v>
      </c>
    </row>
    <row r="23" customFormat="false" ht="15" hidden="false" customHeight="false" outlineLevel="0" collapsed="false">
      <c r="A23" s="14" t="s">
        <v>271</v>
      </c>
      <c r="B23" s="25" t="n">
        <f aca="false">B22*Допущения!$C$88</f>
        <v>0</v>
      </c>
      <c r="C23" s="25" t="n">
        <f aca="false">C22*Допущения!$C$88</f>
        <v>0</v>
      </c>
      <c r="D23" s="25" t="n">
        <f aca="false">D22*Допущения!$C$88</f>
        <v>180000</v>
      </c>
      <c r="E23" s="25" t="n">
        <f aca="false">E22*Допущения!$C$88</f>
        <v>180000</v>
      </c>
      <c r="F23" s="25" t="n">
        <f aca="false">F22*Допущения!$C$88</f>
        <v>180000</v>
      </c>
      <c r="G23" s="25" t="n">
        <f aca="false">G22*Допущения!$C$88</f>
        <v>180000</v>
      </c>
      <c r="H23" s="25" t="n">
        <f aca="false">H22*Допущения!$C$88</f>
        <v>180000</v>
      </c>
      <c r="I23" s="25" t="n">
        <f aca="false">I22*Допущения!$C$88</f>
        <v>360000</v>
      </c>
      <c r="J23" s="25" t="n">
        <f aca="false">J22*Допущения!$C$88</f>
        <v>180000</v>
      </c>
      <c r="K23" s="25" t="n">
        <f aca="false">K22*Допущения!$C$88</f>
        <v>180000</v>
      </c>
      <c r="L23" s="25" t="n">
        <f aca="false">L22*Допущения!$C$88</f>
        <v>360000</v>
      </c>
      <c r="M23" s="25" t="n">
        <f aca="false">M22*Допущения!$C$88</f>
        <v>180000</v>
      </c>
      <c r="N23" s="25" t="n">
        <f aca="false">SUM(B23:M23)</f>
        <v>2160000</v>
      </c>
    </row>
    <row r="25" customFormat="false" ht="21.75" hidden="false" customHeight="true" outlineLevel="0" collapsed="false">
      <c r="A25" s="5" t="s">
        <v>272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A26" s="7" t="s">
        <v>273</v>
      </c>
      <c r="B26" s="43" t="n">
        <f aca="false">B18+B23</f>
        <v>2908.481121</v>
      </c>
      <c r="C26" s="43" t="n">
        <f aca="false">C18+C23</f>
        <v>8225.14657940182</v>
      </c>
      <c r="D26" s="43" t="n">
        <f aca="false">D18+D23</f>
        <v>195516.485163687</v>
      </c>
      <c r="E26" s="43" t="n">
        <f aca="false">E18+E23</f>
        <v>217611.103171687</v>
      </c>
      <c r="F26" s="43" t="n">
        <f aca="false">F18+F23</f>
        <v>244732.053533162</v>
      </c>
      <c r="G26" s="43" t="n">
        <f aca="false">G18+G23</f>
        <v>275894.317221512</v>
      </c>
      <c r="H26" s="43" t="n">
        <f aca="false">H18+H23</f>
        <v>333250.80750752</v>
      </c>
      <c r="I26" s="43" t="n">
        <f aca="false">I18+I23</f>
        <v>575054.177069449</v>
      </c>
      <c r="J26" s="43" t="n">
        <f aca="false">J18+J23</f>
        <v>460393.262856144</v>
      </c>
      <c r="K26" s="43" t="n">
        <f aca="false">K18+K23</f>
        <v>557396.20545181</v>
      </c>
      <c r="L26" s="43" t="n">
        <f aca="false">L18+L23</f>
        <v>837331.144703002</v>
      </c>
      <c r="M26" s="43" t="n">
        <f aca="false">M18+M23</f>
        <v>759340.626863656</v>
      </c>
      <c r="N26" s="43" t="n">
        <f aca="false">SUM(B26:M26)</f>
        <v>4467653.81124203</v>
      </c>
    </row>
    <row r="27" customFormat="false" ht="15" hidden="false" customHeight="false" outlineLevel="0" collapsed="false">
      <c r="A27" s="32" t="s">
        <v>274</v>
      </c>
      <c r="B27" s="41" t="n">
        <f aca="false">SUM($B$26:B26)</f>
        <v>2908.481121</v>
      </c>
      <c r="C27" s="41" t="n">
        <f aca="false">SUM($B$26:C26)</f>
        <v>11133.6277004018</v>
      </c>
      <c r="D27" s="41" t="n">
        <f aca="false">SUM($B$26:D26)</f>
        <v>206650.112864089</v>
      </c>
      <c r="E27" s="41" t="n">
        <f aca="false">SUM($B$26:E26)</f>
        <v>424261.216035776</v>
      </c>
      <c r="F27" s="41" t="n">
        <f aca="false">SUM($B$26:F26)</f>
        <v>668993.269568938</v>
      </c>
      <c r="G27" s="41" t="n">
        <f aca="false">SUM($B$26:G26)</f>
        <v>944887.58679045</v>
      </c>
      <c r="H27" s="41" t="n">
        <f aca="false">SUM($B$26:H26)</f>
        <v>1278138.39429797</v>
      </c>
      <c r="I27" s="41" t="n">
        <f aca="false">SUM($B$26:I26)</f>
        <v>1853192.57136742</v>
      </c>
      <c r="J27" s="41" t="n">
        <f aca="false">SUM($B$26:J26)</f>
        <v>2313585.83422356</v>
      </c>
      <c r="K27" s="41" t="n">
        <f aca="false">SUM($B$26:K26)</f>
        <v>2870982.03967537</v>
      </c>
      <c r="L27" s="41" t="n">
        <f aca="false">SUM($B$26:L26)</f>
        <v>3708313.18437837</v>
      </c>
      <c r="M27" s="41" t="n">
        <f aca="false">SUM($B$26:M26)</f>
        <v>4467653.81124203</v>
      </c>
    </row>
    <row r="29" customFormat="false" ht="21.75" hidden="false" customHeight="true" outlineLevel="0" collapsed="false">
      <c r="A29" s="5" t="s">
        <v>275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A30" s="44" t="s">
        <v>276</v>
      </c>
      <c r="B30" s="47" t="s">
        <v>251</v>
      </c>
      <c r="C30" s="47" t="s">
        <v>251</v>
      </c>
      <c r="D30" s="21" t="n">
        <v>0</v>
      </c>
      <c r="E30" s="47" t="s">
        <v>251</v>
      </c>
      <c r="F30" s="47" t="s">
        <v>251</v>
      </c>
      <c r="G30" s="21" t="n">
        <v>500</v>
      </c>
      <c r="H30" s="47" t="s">
        <v>251</v>
      </c>
      <c r="I30" s="47" t="s">
        <v>251</v>
      </c>
      <c r="J30" s="21" t="n">
        <v>1200</v>
      </c>
      <c r="K30" s="47" t="s">
        <v>251</v>
      </c>
      <c r="L30" s="47" t="s">
        <v>251</v>
      </c>
      <c r="M30" s="21" t="n">
        <v>2000</v>
      </c>
    </row>
    <row r="31" customFormat="false" ht="15" hidden="false" customHeight="false" outlineLevel="0" collapsed="false">
      <c r="A31" s="44" t="s">
        <v>277</v>
      </c>
      <c r="D31" s="25" t="n">
        <f aca="false">D12</f>
        <v>11.3673883983055</v>
      </c>
      <c r="G31" s="25" t="n">
        <f aca="false">G12</f>
        <v>70.2522470487271</v>
      </c>
      <c r="J31" s="25" t="n">
        <f aca="false">J12</f>
        <v>205.416309784721</v>
      </c>
      <c r="M31" s="25" t="n">
        <f aca="false">M12</f>
        <v>424.425367665682</v>
      </c>
    </row>
    <row r="32" customFormat="false" ht="15" hidden="false" customHeight="false" outlineLevel="0" collapsed="false">
      <c r="A32" s="44" t="s">
        <v>253</v>
      </c>
      <c r="G32" s="49" t="n">
        <f aca="false">(G31-G30)/G30</f>
        <v>-0.859495505902546</v>
      </c>
      <c r="J32" s="49" t="n">
        <f aca="false">(J31-J30)/J30</f>
        <v>-0.828819741846066</v>
      </c>
      <c r="M32" s="49" t="n">
        <f aca="false">(M31-M30)/M30</f>
        <v>-0.787787316167159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4"/>
  </cols>
  <sheetData>
    <row r="2" customFormat="false" ht="25.5" hidden="false" customHeight="true" outlineLevel="0" collapsed="false">
      <c r="A2" s="33" t="s">
        <v>278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.75" hidden="false" customHeight="true" outlineLevel="0" collapsed="false">
      <c r="B4" s="34" t="s">
        <v>213</v>
      </c>
      <c r="C4" s="34" t="s">
        <v>213</v>
      </c>
      <c r="D4" s="34" t="s">
        <v>213</v>
      </c>
      <c r="E4" s="35" t="s">
        <v>214</v>
      </c>
      <c r="F4" s="35" t="s">
        <v>214</v>
      </c>
      <c r="G4" s="35" t="s">
        <v>214</v>
      </c>
      <c r="H4" s="36" t="s">
        <v>215</v>
      </c>
      <c r="I4" s="36" t="s">
        <v>215</v>
      </c>
      <c r="J4" s="36" t="s">
        <v>215</v>
      </c>
      <c r="K4" s="37" t="s">
        <v>216</v>
      </c>
      <c r="L4" s="37" t="s">
        <v>216</v>
      </c>
      <c r="M4" s="37" t="s">
        <v>216</v>
      </c>
    </row>
    <row r="5" customFormat="false" ht="31.5" hidden="false" customHeight="true" outlineLevel="0" collapsed="false">
      <c r="B5" s="38" t="s">
        <v>217</v>
      </c>
      <c r="C5" s="38" t="s">
        <v>218</v>
      </c>
      <c r="D5" s="38" t="s">
        <v>219</v>
      </c>
      <c r="E5" s="38" t="s">
        <v>220</v>
      </c>
      <c r="F5" s="38" t="s">
        <v>221</v>
      </c>
      <c r="G5" s="38" t="s">
        <v>222</v>
      </c>
      <c r="H5" s="38" t="s">
        <v>223</v>
      </c>
      <c r="I5" s="38" t="s">
        <v>224</v>
      </c>
      <c r="J5" s="38" t="s">
        <v>225</v>
      </c>
      <c r="K5" s="38" t="s">
        <v>226</v>
      </c>
      <c r="L5" s="38" t="s">
        <v>227</v>
      </c>
      <c r="M5" s="38" t="s">
        <v>228</v>
      </c>
      <c r="N5" s="39" t="s">
        <v>229</v>
      </c>
    </row>
    <row r="6" customFormat="false" ht="21.75" hidden="false" customHeight="true" outlineLevel="0" collapsed="false">
      <c r="A6" s="5" t="s">
        <v>279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20" t="s">
        <v>160</v>
      </c>
      <c r="B7" s="40" t="n">
        <f aca="false">Допущения!$C$68*1</f>
        <v>350000</v>
      </c>
      <c r="C7" s="40" t="n">
        <f aca="false">Допущения!$C$68*1</f>
        <v>350000</v>
      </c>
      <c r="D7" s="40" t="n">
        <f aca="false">Допущения!$C$68*1</f>
        <v>350000</v>
      </c>
      <c r="E7" s="40" t="n">
        <f aca="false">Допущения!$C$68*1</f>
        <v>350000</v>
      </c>
      <c r="F7" s="40" t="n">
        <f aca="false">Допущения!$C$68*1</f>
        <v>350000</v>
      </c>
      <c r="G7" s="40" t="n">
        <f aca="false">Допущения!$C$68*1</f>
        <v>350000</v>
      </c>
      <c r="H7" s="40" t="n">
        <f aca="false">Допущения!$C$68*1</f>
        <v>350000</v>
      </c>
      <c r="I7" s="40" t="n">
        <f aca="false">Допущения!$C$68*1</f>
        <v>350000</v>
      </c>
      <c r="J7" s="40" t="n">
        <f aca="false">Допущения!$C$68*1</f>
        <v>350000</v>
      </c>
      <c r="K7" s="40" t="n">
        <f aca="false">Допущения!$C$68*1</f>
        <v>350000</v>
      </c>
      <c r="L7" s="40" t="n">
        <f aca="false">Допущения!$C$68*1</f>
        <v>350000</v>
      </c>
      <c r="M7" s="40" t="n">
        <f aca="false">Допущения!$C$68*1</f>
        <v>350000</v>
      </c>
      <c r="N7" s="41" t="n">
        <f aca="false">SUM(B7:M7)</f>
        <v>4200000</v>
      </c>
    </row>
    <row r="8" customFormat="false" ht="15" hidden="false" customHeight="false" outlineLevel="0" collapsed="false">
      <c r="A8" s="20" t="s">
        <v>280</v>
      </c>
      <c r="B8" s="40" t="n">
        <f aca="false">Допущения!$C$69*1</f>
        <v>180000</v>
      </c>
      <c r="C8" s="40" t="n">
        <f aca="false">Допущения!$C$69*1</f>
        <v>180000</v>
      </c>
      <c r="D8" s="40" t="n">
        <f aca="false">Допущения!$C$69*1</f>
        <v>180000</v>
      </c>
      <c r="E8" s="40" t="n">
        <f aca="false">Допущения!$C$69*1</f>
        <v>180000</v>
      </c>
      <c r="F8" s="40" t="n">
        <f aca="false">Допущения!$C$69*1</f>
        <v>180000</v>
      </c>
      <c r="G8" s="40" t="n">
        <f aca="false">Допущения!$C$69*1</f>
        <v>180000</v>
      </c>
      <c r="H8" s="40" t="n">
        <f aca="false">Допущения!$C$69*1</f>
        <v>180000</v>
      </c>
      <c r="I8" s="40" t="n">
        <f aca="false">Допущения!$C$69*1</f>
        <v>180000</v>
      </c>
      <c r="J8" s="40" t="n">
        <f aca="false">Допущения!$C$69*1</f>
        <v>180000</v>
      </c>
      <c r="K8" s="40" t="n">
        <f aca="false">Допущения!$C$69*1</f>
        <v>180000</v>
      </c>
      <c r="L8" s="40" t="n">
        <f aca="false">Допущения!$C$69*1</f>
        <v>180000</v>
      </c>
      <c r="M8" s="40" t="n">
        <f aca="false">Допущения!$C$69*1</f>
        <v>180000</v>
      </c>
      <c r="N8" s="41" t="n">
        <f aca="false">SUM(B8:M8)</f>
        <v>2160000</v>
      </c>
    </row>
    <row r="9" customFormat="false" ht="15" hidden="false" customHeight="false" outlineLevel="0" collapsed="false">
      <c r="A9" s="20" t="s">
        <v>281</v>
      </c>
      <c r="B9" s="40" t="n">
        <f aca="false">Допущения!$C$69*1</f>
        <v>180000</v>
      </c>
      <c r="C9" s="40" t="n">
        <f aca="false">Допущения!$C$69*1</f>
        <v>180000</v>
      </c>
      <c r="D9" s="40" t="n">
        <f aca="false">Допущения!$C$69*1</f>
        <v>180000</v>
      </c>
      <c r="E9" s="40" t="n">
        <f aca="false">Допущения!$C$69*1</f>
        <v>180000</v>
      </c>
      <c r="F9" s="40" t="n">
        <f aca="false">Допущения!$C$69*1</f>
        <v>180000</v>
      </c>
      <c r="G9" s="40" t="n">
        <f aca="false">Допущения!$C$69*1</f>
        <v>180000</v>
      </c>
      <c r="H9" s="40" t="n">
        <f aca="false">Допущения!$C$69*1</f>
        <v>180000</v>
      </c>
      <c r="I9" s="40" t="n">
        <f aca="false">Допущения!$C$69*1</f>
        <v>180000</v>
      </c>
      <c r="J9" s="40" t="n">
        <f aca="false">Допущения!$C$69*1</f>
        <v>180000</v>
      </c>
      <c r="K9" s="40" t="n">
        <f aca="false">Допущения!$C$69*1</f>
        <v>180000</v>
      </c>
      <c r="L9" s="40" t="n">
        <f aca="false">Допущения!$C$69*1</f>
        <v>180000</v>
      </c>
      <c r="M9" s="40" t="n">
        <f aca="false">Допущения!$C$69*1</f>
        <v>180000</v>
      </c>
      <c r="N9" s="41" t="n">
        <f aca="false">SUM(B9:M9)</f>
        <v>2160000</v>
      </c>
    </row>
    <row r="10" customFormat="false" ht="15" hidden="false" customHeight="false" outlineLevel="0" collapsed="false">
      <c r="A10" s="20" t="s">
        <v>164</v>
      </c>
      <c r="B10" s="40" t="n">
        <f aca="false">Допущения!$C$70*1</f>
        <v>320000</v>
      </c>
      <c r="C10" s="40" t="n">
        <f aca="false">Допущения!$C$70*1</f>
        <v>320000</v>
      </c>
      <c r="D10" s="40" t="n">
        <f aca="false">Допущения!$C$70*1</f>
        <v>320000</v>
      </c>
      <c r="E10" s="40" t="n">
        <f aca="false">Допущения!$C$70*1</f>
        <v>320000</v>
      </c>
      <c r="F10" s="40" t="n">
        <f aca="false">Допущения!$C$70*1</f>
        <v>320000</v>
      </c>
      <c r="G10" s="40" t="n">
        <f aca="false">Допущения!$C$70*1</f>
        <v>320000</v>
      </c>
      <c r="H10" s="40" t="n">
        <f aca="false">Допущения!$C$70*1</f>
        <v>320000</v>
      </c>
      <c r="I10" s="40" t="n">
        <f aca="false">Допущения!$C$70*1</f>
        <v>320000</v>
      </c>
      <c r="J10" s="40" t="n">
        <f aca="false">Допущения!$C$70*1</f>
        <v>320000</v>
      </c>
      <c r="K10" s="40" t="n">
        <f aca="false">Допущения!$C$70*1</f>
        <v>320000</v>
      </c>
      <c r="L10" s="40" t="n">
        <f aca="false">Допущения!$C$70*1</f>
        <v>320000</v>
      </c>
      <c r="M10" s="40" t="n">
        <f aca="false">Допущения!$C$70*1</f>
        <v>320000</v>
      </c>
      <c r="N10" s="41" t="n">
        <f aca="false">SUM(B10:M10)</f>
        <v>3840000</v>
      </c>
    </row>
    <row r="11" customFormat="false" ht="15" hidden="false" customHeight="false" outlineLevel="0" collapsed="false">
      <c r="A11" s="20" t="s">
        <v>282</v>
      </c>
      <c r="B11" s="40" t="n">
        <f aca="false">Допущения!$C$71*1</f>
        <v>120000</v>
      </c>
      <c r="C11" s="40" t="n">
        <f aca="false">Допущения!$C$71*1</f>
        <v>120000</v>
      </c>
      <c r="D11" s="40" t="n">
        <f aca="false">Допущения!$C$71*1</f>
        <v>120000</v>
      </c>
      <c r="E11" s="40" t="n">
        <f aca="false">Допущения!$C$71*1</f>
        <v>120000</v>
      </c>
      <c r="F11" s="40" t="n">
        <f aca="false">Допущения!$C$71*1</f>
        <v>120000</v>
      </c>
      <c r="G11" s="40" t="n">
        <f aca="false">Допущения!$C$71*1</f>
        <v>120000</v>
      </c>
      <c r="H11" s="40" t="n">
        <f aca="false">Допущения!$C$71*1</f>
        <v>120000</v>
      </c>
      <c r="I11" s="40" t="n">
        <f aca="false">Допущения!$C$71*1</f>
        <v>120000</v>
      </c>
      <c r="J11" s="40" t="n">
        <f aca="false">Допущения!$C$71*1</f>
        <v>120000</v>
      </c>
      <c r="K11" s="40" t="n">
        <f aca="false">Допущения!$C$71*1</f>
        <v>120000</v>
      </c>
      <c r="L11" s="40" t="n">
        <f aca="false">Допущения!$C$71*1</f>
        <v>120000</v>
      </c>
      <c r="M11" s="40" t="n">
        <f aca="false">Допущения!$C$71*1</f>
        <v>120000</v>
      </c>
      <c r="N11" s="41" t="n">
        <f aca="false">SUM(B11:M11)</f>
        <v>1440000</v>
      </c>
    </row>
    <row r="12" customFormat="false" ht="15" hidden="false" customHeight="false" outlineLevel="0" collapsed="false">
      <c r="A12" s="20" t="s">
        <v>283</v>
      </c>
      <c r="B12" s="40" t="n">
        <f aca="false">Допущения!$C$72*1</f>
        <v>150000</v>
      </c>
      <c r="C12" s="40" t="n">
        <f aca="false">Допущения!$C$72*1</f>
        <v>150000</v>
      </c>
      <c r="D12" s="40" t="n">
        <f aca="false">Допущения!$C$72*1</f>
        <v>150000</v>
      </c>
      <c r="E12" s="40" t="n">
        <f aca="false">Допущения!$C$72*1</f>
        <v>150000</v>
      </c>
      <c r="F12" s="40" t="n">
        <f aca="false">Допущения!$C$72*1</f>
        <v>150000</v>
      </c>
      <c r="G12" s="40" t="n">
        <f aca="false">Допущения!$C$72*1</f>
        <v>150000</v>
      </c>
      <c r="H12" s="40" t="n">
        <f aca="false">Допущения!$C$72*1</f>
        <v>150000</v>
      </c>
      <c r="I12" s="40" t="n">
        <f aca="false">Допущения!$C$72*1</f>
        <v>150000</v>
      </c>
      <c r="J12" s="40" t="n">
        <f aca="false">Допущения!$C$72*1</f>
        <v>150000</v>
      </c>
      <c r="K12" s="40" t="n">
        <f aca="false">Допущения!$C$72*1</f>
        <v>150000</v>
      </c>
      <c r="L12" s="40" t="n">
        <f aca="false">Допущения!$C$72*1</f>
        <v>150000</v>
      </c>
      <c r="M12" s="40" t="n">
        <f aca="false">Допущения!$C$72*1</f>
        <v>150000</v>
      </c>
      <c r="N12" s="41" t="n">
        <f aca="false">SUM(B12:M12)</f>
        <v>1800000</v>
      </c>
    </row>
    <row r="13" customFormat="false" ht="15" hidden="false" customHeight="false" outlineLevel="0" collapsed="false">
      <c r="A13" s="20" t="s">
        <v>284</v>
      </c>
      <c r="B13" s="50" t="n">
        <v>0</v>
      </c>
      <c r="C13" s="50" t="n">
        <v>0</v>
      </c>
      <c r="D13" s="50" t="n">
        <v>0</v>
      </c>
      <c r="E13" s="40" t="n">
        <f aca="false">Допущения!$C$73*1</f>
        <v>130000</v>
      </c>
      <c r="F13" s="40" t="n">
        <f aca="false">Допущения!$C$73*1</f>
        <v>130000</v>
      </c>
      <c r="G13" s="40" t="n">
        <f aca="false">Допущения!$C$73*1</f>
        <v>130000</v>
      </c>
      <c r="H13" s="40" t="n">
        <f aca="false">Допущения!$C$73*1</f>
        <v>130000</v>
      </c>
      <c r="I13" s="40" t="n">
        <f aca="false">Допущения!$C$73*1</f>
        <v>130000</v>
      </c>
      <c r="J13" s="40" t="n">
        <f aca="false">Допущения!$C$73*1</f>
        <v>130000</v>
      </c>
      <c r="K13" s="40" t="n">
        <f aca="false">Допущения!$C$73*1</f>
        <v>130000</v>
      </c>
      <c r="L13" s="40" t="n">
        <f aca="false">Допущения!$C$73*1</f>
        <v>130000</v>
      </c>
      <c r="M13" s="40" t="n">
        <f aca="false">Допущения!$C$73*1</f>
        <v>130000</v>
      </c>
      <c r="N13" s="41" t="n">
        <f aca="false">SUM(B13:M13)</f>
        <v>1170000</v>
      </c>
    </row>
    <row r="14" customFormat="false" ht="15" hidden="false" customHeight="false" outlineLevel="0" collapsed="false">
      <c r="A14" s="20" t="s">
        <v>285</v>
      </c>
      <c r="B14" s="50" t="n">
        <v>0</v>
      </c>
      <c r="C14" s="50" t="n">
        <v>0</v>
      </c>
      <c r="D14" s="50" t="n">
        <v>0</v>
      </c>
      <c r="E14" s="50" t="n">
        <v>0</v>
      </c>
      <c r="F14" s="50" t="n">
        <v>0</v>
      </c>
      <c r="G14" s="50" t="n">
        <v>0</v>
      </c>
      <c r="H14" s="40" t="n">
        <f aca="false">Допущения!$C$74*1</f>
        <v>110000</v>
      </c>
      <c r="I14" s="40" t="n">
        <f aca="false">Допущения!$C$74*1</f>
        <v>110000</v>
      </c>
      <c r="J14" s="40" t="n">
        <f aca="false">Допущения!$C$74*1</f>
        <v>110000</v>
      </c>
      <c r="K14" s="40" t="n">
        <f aca="false">Допущения!$C$74*1</f>
        <v>110000</v>
      </c>
      <c r="L14" s="40" t="n">
        <f aca="false">Допущения!$C$74*1</f>
        <v>110000</v>
      </c>
      <c r="M14" s="40" t="n">
        <f aca="false">Допущения!$C$74*1</f>
        <v>110000</v>
      </c>
      <c r="N14" s="41" t="n">
        <f aca="false">SUM(B14:M14)</f>
        <v>660000</v>
      </c>
    </row>
    <row r="15" customFormat="false" ht="15" hidden="false" customHeight="false" outlineLevel="0" collapsed="false">
      <c r="A15" s="32" t="s">
        <v>286</v>
      </c>
      <c r="B15" s="41" t="n">
        <f aca="false">SUM(B7:B14)</f>
        <v>1300000</v>
      </c>
      <c r="C15" s="41" t="n">
        <f aca="false">SUM(C7:C14)</f>
        <v>1300000</v>
      </c>
      <c r="D15" s="41" t="n">
        <f aca="false">SUM(D7:D14)</f>
        <v>1300000</v>
      </c>
      <c r="E15" s="41" t="n">
        <f aca="false">SUM(E7:E14)</f>
        <v>1430000</v>
      </c>
      <c r="F15" s="41" t="n">
        <f aca="false">SUM(F7:F14)</f>
        <v>1430000</v>
      </c>
      <c r="G15" s="41" t="n">
        <f aca="false">SUM(G7:G14)</f>
        <v>1430000</v>
      </c>
      <c r="H15" s="41" t="n">
        <f aca="false">SUM(H7:H14)</f>
        <v>1540000</v>
      </c>
      <c r="I15" s="41" t="n">
        <f aca="false">SUM(I7:I14)</f>
        <v>1540000</v>
      </c>
      <c r="J15" s="41" t="n">
        <f aca="false">SUM(J7:J14)</f>
        <v>1540000</v>
      </c>
      <c r="K15" s="41" t="n">
        <f aca="false">SUM(K7:K14)</f>
        <v>1540000</v>
      </c>
      <c r="L15" s="41" t="n">
        <f aca="false">SUM(L7:L14)</f>
        <v>1540000</v>
      </c>
      <c r="M15" s="41" t="n">
        <f aca="false">SUM(M7:M14)</f>
        <v>1540000</v>
      </c>
      <c r="N15" s="41" t="n">
        <f aca="false">SUM(B15:M15)</f>
        <v>17430000</v>
      </c>
    </row>
    <row r="16" customFormat="false" ht="15" hidden="false" customHeight="false" outlineLevel="0" collapsed="false">
      <c r="A16" s="32" t="s">
        <v>287</v>
      </c>
      <c r="B16" s="41" t="n">
        <f aca="false">B15*Допущения!$C$75</f>
        <v>390000</v>
      </c>
      <c r="C16" s="41" t="n">
        <f aca="false">C15*Допущения!$C$75</f>
        <v>390000</v>
      </c>
      <c r="D16" s="41" t="n">
        <f aca="false">D15*Допущения!$C$75</f>
        <v>390000</v>
      </c>
      <c r="E16" s="41" t="n">
        <f aca="false">E15*Допущения!$C$75</f>
        <v>429000</v>
      </c>
      <c r="F16" s="41" t="n">
        <f aca="false">F15*Допущения!$C$75</f>
        <v>429000</v>
      </c>
      <c r="G16" s="41" t="n">
        <f aca="false">G15*Допущения!$C$75</f>
        <v>429000</v>
      </c>
      <c r="H16" s="41" t="n">
        <f aca="false">H15*Допущения!$C$75</f>
        <v>462000</v>
      </c>
      <c r="I16" s="41" t="n">
        <f aca="false">I15*Допущения!$C$75</f>
        <v>462000</v>
      </c>
      <c r="J16" s="41" t="n">
        <f aca="false">J15*Допущения!$C$75</f>
        <v>462000</v>
      </c>
      <c r="K16" s="41" t="n">
        <f aca="false">K15*Допущения!$C$75</f>
        <v>462000</v>
      </c>
      <c r="L16" s="41" t="n">
        <f aca="false">L15*Допущения!$C$75</f>
        <v>462000</v>
      </c>
      <c r="M16" s="41" t="n">
        <f aca="false">M15*Допущения!$C$75</f>
        <v>462000</v>
      </c>
      <c r="N16" s="41" t="n">
        <f aca="false">SUM(B16:M16)</f>
        <v>5229000</v>
      </c>
    </row>
    <row r="17" customFormat="false" ht="15" hidden="false" customHeight="false" outlineLevel="0" collapsed="false">
      <c r="A17" s="7" t="s">
        <v>288</v>
      </c>
      <c r="B17" s="43" t="n">
        <f aca="false">B15+B16</f>
        <v>1690000</v>
      </c>
      <c r="C17" s="43" t="n">
        <f aca="false">C15+C16</f>
        <v>1690000</v>
      </c>
      <c r="D17" s="43" t="n">
        <f aca="false">D15+D16</f>
        <v>1690000</v>
      </c>
      <c r="E17" s="43" t="n">
        <f aca="false">E15+E16</f>
        <v>1859000</v>
      </c>
      <c r="F17" s="43" t="n">
        <f aca="false">F15+F16</f>
        <v>1859000</v>
      </c>
      <c r="G17" s="43" t="n">
        <f aca="false">G15+G16</f>
        <v>1859000</v>
      </c>
      <c r="H17" s="43" t="n">
        <f aca="false">H15+H16</f>
        <v>2002000</v>
      </c>
      <c r="I17" s="43" t="n">
        <f aca="false">I15+I16</f>
        <v>2002000</v>
      </c>
      <c r="J17" s="43" t="n">
        <f aca="false">J15+J16</f>
        <v>2002000</v>
      </c>
      <c r="K17" s="43" t="n">
        <f aca="false">K15+K16</f>
        <v>2002000</v>
      </c>
      <c r="L17" s="43" t="n">
        <f aca="false">L15+L16</f>
        <v>2002000</v>
      </c>
      <c r="M17" s="43" t="n">
        <f aca="false">M15+M16</f>
        <v>2002000</v>
      </c>
      <c r="N17" s="43" t="n">
        <f aca="false">SUM(B17:M17)</f>
        <v>22659000</v>
      </c>
    </row>
    <row r="19" customFormat="false" ht="21.75" hidden="false" customHeight="true" outlineLevel="0" collapsed="false">
      <c r="A19" s="5" t="s">
        <v>289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20" t="s">
        <v>177</v>
      </c>
      <c r="B20" s="40" t="n">
        <f aca="false">Допущения!$C$78</f>
        <v>35000</v>
      </c>
      <c r="C20" s="40" t="n">
        <f aca="false">Допущения!$C$78</f>
        <v>35000</v>
      </c>
      <c r="D20" s="40" t="n">
        <f aca="false">Допущения!$C$78</f>
        <v>35000</v>
      </c>
      <c r="E20" s="40" t="n">
        <f aca="false">Допущения!$C$78</f>
        <v>35000</v>
      </c>
      <c r="F20" s="40" t="n">
        <f aca="false">Допущения!$C$78</f>
        <v>35000</v>
      </c>
      <c r="G20" s="40" t="n">
        <f aca="false">Допущения!$C$78</f>
        <v>35000</v>
      </c>
      <c r="H20" s="40" t="n">
        <f aca="false">Допущения!$C$78</f>
        <v>35000</v>
      </c>
      <c r="I20" s="40" t="n">
        <f aca="false">Допущения!$C$78</f>
        <v>35000</v>
      </c>
      <c r="J20" s="40" t="n">
        <f aca="false">Допущения!$C$78</f>
        <v>35000</v>
      </c>
      <c r="K20" s="40" t="n">
        <f aca="false">Допущения!$C$78</f>
        <v>35000</v>
      </c>
      <c r="L20" s="40" t="n">
        <f aca="false">Допущения!$C$78</f>
        <v>35000</v>
      </c>
      <c r="M20" s="40" t="n">
        <f aca="false">Допущения!$C$78</f>
        <v>35000</v>
      </c>
      <c r="N20" s="41" t="n">
        <f aca="false">SUM(B20:M20)</f>
        <v>420000</v>
      </c>
    </row>
    <row r="21" customFormat="false" ht="15" hidden="false" customHeight="false" outlineLevel="0" collapsed="false">
      <c r="A21" s="20" t="s">
        <v>290</v>
      </c>
      <c r="B21" s="41" t="n">
        <f aca="false">MAX(0,Воронка!B30-10000)/1000*Допущения!$C$79</f>
        <v>0</v>
      </c>
      <c r="C21" s="41" t="n">
        <f aca="false">MAX(0,Воронка!C30-10000)/1000*Допущения!$C$79</f>
        <v>0</v>
      </c>
      <c r="D21" s="41" t="n">
        <f aca="false">MAX(0,Воронка!D30-10000)/1000*Допущения!$C$79</f>
        <v>0</v>
      </c>
      <c r="E21" s="41" t="n">
        <f aca="false">MAX(0,Воронка!E30-10000)/1000*Допущения!$C$79</f>
        <v>0</v>
      </c>
      <c r="F21" s="41" t="n">
        <f aca="false">MAX(0,Воронка!F30-10000)/1000*Допущения!$C$79</f>
        <v>1243.88510558679</v>
      </c>
      <c r="G21" s="41" t="n">
        <f aca="false">MAX(0,Воронка!G30-10000)/1000*Допущения!$C$79</f>
        <v>3973.99031692462</v>
      </c>
      <c r="H21" s="41" t="n">
        <f aca="false">MAX(0,Воронка!H30-10000)/1000*Допущения!$C$79</f>
        <v>6493.81665034371</v>
      </c>
      <c r="I21" s="41" t="n">
        <f aca="false">MAX(0,Воронка!I30-10000)/1000*Допущения!$C$79</f>
        <v>8805.3972197451</v>
      </c>
      <c r="J21" s="41" t="n">
        <f aca="false">MAX(0,Воронка!J30-10000)/1000*Допущения!$C$79</f>
        <v>10928.1571899964</v>
      </c>
      <c r="K21" s="41" t="n">
        <f aca="false">MAX(0,Воронка!K30-10000)/1000*Допущения!$C$79</f>
        <v>13016.8216191283</v>
      </c>
      <c r="L21" s="41" t="n">
        <f aca="false">MAX(0,Воронка!L30-10000)/1000*Допущения!$C$79</f>
        <v>14940.3761710551</v>
      </c>
      <c r="M21" s="41" t="n">
        <f aca="false">MAX(0,Воронка!M30-10000)/1000*Допущения!$C$79</f>
        <v>16714.1430423812</v>
      </c>
      <c r="N21" s="41" t="n">
        <f aca="false">SUM(B21:M21)</f>
        <v>76116.5873151611</v>
      </c>
    </row>
    <row r="22" customFormat="false" ht="15" hidden="false" customHeight="false" outlineLevel="0" collapsed="false">
      <c r="A22" s="7" t="s">
        <v>291</v>
      </c>
      <c r="B22" s="25" t="n">
        <f aca="false">B20+B21</f>
        <v>35000</v>
      </c>
      <c r="C22" s="25" t="n">
        <f aca="false">C20+C21</f>
        <v>35000</v>
      </c>
      <c r="D22" s="25" t="n">
        <f aca="false">D20+D21</f>
        <v>35000</v>
      </c>
      <c r="E22" s="25" t="n">
        <f aca="false">E20+E21</f>
        <v>35000</v>
      </c>
      <c r="F22" s="25" t="n">
        <f aca="false">F20+F21</f>
        <v>36243.8851055868</v>
      </c>
      <c r="G22" s="25" t="n">
        <f aca="false">G20+G21</f>
        <v>38973.9903169246</v>
      </c>
      <c r="H22" s="25" t="n">
        <f aca="false">H20+H21</f>
        <v>41493.8166503437</v>
      </c>
      <c r="I22" s="25" t="n">
        <f aca="false">I20+I21</f>
        <v>43805.3972197451</v>
      </c>
      <c r="J22" s="25" t="n">
        <f aca="false">J20+J21</f>
        <v>45928.1571899964</v>
      </c>
      <c r="K22" s="25" t="n">
        <f aca="false">K20+K21</f>
        <v>48016.8216191284</v>
      </c>
      <c r="L22" s="25" t="n">
        <f aca="false">L20+L21</f>
        <v>49940.3761710551</v>
      </c>
      <c r="M22" s="25" t="n">
        <f aca="false">M20+M21</f>
        <v>51714.1430423812</v>
      </c>
      <c r="N22" s="25" t="n">
        <f aca="false">SUM(B22:M22)</f>
        <v>496116.587315161</v>
      </c>
    </row>
    <row r="24" customFormat="false" ht="21.75" hidden="false" customHeight="true" outlineLevel="0" collapsed="false">
      <c r="A24" s="5" t="s">
        <v>292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32" t="s">
        <v>293</v>
      </c>
      <c r="B25" s="40" t="n">
        <f aca="false">Допущения!$C$82+(Допущения!$C$83-Допущения!$C$82)*(1-1)/11</f>
        <v>90</v>
      </c>
      <c r="C25" s="40" t="n">
        <f aca="false">Допущения!$C$82+(Допущения!$C$83-Допущения!$C$82)*(2-1)/11</f>
        <v>104.545454545455</v>
      </c>
      <c r="D25" s="40" t="n">
        <f aca="false">Допущения!$C$82+(Допущения!$C$83-Допущения!$C$82)*(3-1)/11</f>
        <v>119.090909090909</v>
      </c>
      <c r="E25" s="40" t="n">
        <f aca="false">Допущения!$C$82+(Допущения!$C$83-Допущения!$C$82)*(4-1)/11</f>
        <v>133.636363636364</v>
      </c>
      <c r="F25" s="40" t="n">
        <f aca="false">Допущения!$C$82+(Допущения!$C$83-Допущения!$C$82)*(5-1)/11</f>
        <v>148.181818181818</v>
      </c>
      <c r="G25" s="40" t="n">
        <f aca="false">Допущения!$C$82+(Допущения!$C$83-Допущения!$C$82)*(6-1)/11</f>
        <v>162.727272727273</v>
      </c>
      <c r="H25" s="40" t="n">
        <f aca="false">Допущения!$C$82+(Допущения!$C$83-Допущения!$C$82)*(7-1)/11</f>
        <v>177.272727272727</v>
      </c>
      <c r="I25" s="40" t="n">
        <f aca="false">Допущения!$C$82+(Допущения!$C$83-Допущения!$C$82)*(8-1)/11</f>
        <v>191.818181818182</v>
      </c>
      <c r="J25" s="40" t="n">
        <f aca="false">Допущения!$C$82+(Допущения!$C$83-Допущения!$C$82)*(9-1)/11</f>
        <v>206.363636363636</v>
      </c>
      <c r="K25" s="40" t="n">
        <f aca="false">Допущения!$C$82+(Допущения!$C$83-Допущения!$C$82)*(10-1)/11</f>
        <v>220.909090909091</v>
      </c>
      <c r="L25" s="40" t="n">
        <f aca="false">Допущения!$C$82+(Допущения!$C$83-Допущения!$C$82)*(11-1)/11</f>
        <v>235.454545454545</v>
      </c>
      <c r="M25" s="40" t="n">
        <f aca="false">Допущения!$C$82+(Допущения!$C$83-Допущения!$C$82)*(12-1)/11</f>
        <v>250</v>
      </c>
    </row>
    <row r="26" customFormat="false" ht="15" hidden="false" customHeight="false" outlineLevel="0" collapsed="false">
      <c r="A26" s="20" t="s">
        <v>294</v>
      </c>
      <c r="B26" s="41" t="n">
        <f aca="false">B25*Допущения!$C$80</f>
        <v>1080</v>
      </c>
      <c r="C26" s="41" t="n">
        <f aca="false">C25*Допущения!$C$80</f>
        <v>1254.54545454545</v>
      </c>
      <c r="D26" s="41" t="n">
        <f aca="false">D25*Допущения!$C$80</f>
        <v>1429.09090909091</v>
      </c>
      <c r="E26" s="41" t="n">
        <f aca="false">E25*Допущения!$C$80</f>
        <v>1603.63636363636</v>
      </c>
      <c r="F26" s="41" t="n">
        <f aca="false">F25*Допущения!$C$80</f>
        <v>1778.18181818182</v>
      </c>
      <c r="G26" s="41" t="n">
        <f aca="false">G25*Допущения!$C$80</f>
        <v>1952.72727272727</v>
      </c>
      <c r="H26" s="41" t="n">
        <f aca="false">H25*Допущения!$C$80</f>
        <v>2127.27272727273</v>
      </c>
      <c r="I26" s="41" t="n">
        <f aca="false">I25*Допущения!$C$80</f>
        <v>2301.81818181818</v>
      </c>
      <c r="J26" s="41" t="n">
        <f aca="false">J25*Допущения!$C$80</f>
        <v>2476.36363636364</v>
      </c>
      <c r="K26" s="41" t="n">
        <f aca="false">K25*Допущения!$C$80</f>
        <v>2650.90909090909</v>
      </c>
      <c r="L26" s="41" t="n">
        <f aca="false">L25*Допущения!$C$80</f>
        <v>2825.45454545455</v>
      </c>
      <c r="M26" s="41" t="n">
        <f aca="false">M25*Допущения!$C$80</f>
        <v>3000</v>
      </c>
      <c r="N26" s="41" t="n">
        <f aca="false">SUM(B26:M26)</f>
        <v>24480</v>
      </c>
    </row>
    <row r="27" customFormat="false" ht="15" hidden="false" customHeight="false" outlineLevel="0" collapsed="false">
      <c r="A27" s="20" t="s">
        <v>295</v>
      </c>
      <c r="B27" s="41" t="n">
        <f aca="false">B25*0.1*4*Допущения!$C$81</f>
        <v>288</v>
      </c>
      <c r="C27" s="41" t="n">
        <f aca="false">C25*0.1*4*Допущения!$C$81</f>
        <v>334.545454545455</v>
      </c>
      <c r="D27" s="41" t="n">
        <f aca="false">D25*0.1*4*Допущения!$C$81</f>
        <v>381.090909090909</v>
      </c>
      <c r="E27" s="41" t="n">
        <f aca="false">E25*0.1*4*Допущения!$C$81</f>
        <v>427.636363636364</v>
      </c>
      <c r="F27" s="41" t="n">
        <f aca="false">F25*0.1*4*Допущения!$C$81</f>
        <v>474.181818181818</v>
      </c>
      <c r="G27" s="41" t="n">
        <f aca="false">G25*0.1*4*Допущения!$C$81</f>
        <v>520.727272727273</v>
      </c>
      <c r="H27" s="41" t="n">
        <f aca="false">H25*0.1*4*Допущения!$C$81</f>
        <v>567.272727272727</v>
      </c>
      <c r="I27" s="41" t="n">
        <f aca="false">I25*0.1*4*Допущения!$C$81</f>
        <v>613.818181818182</v>
      </c>
      <c r="J27" s="41" t="n">
        <f aca="false">J25*0.1*4*Допущения!$C$81</f>
        <v>660.363636363637</v>
      </c>
      <c r="K27" s="41" t="n">
        <f aca="false">K25*0.1*4*Допущения!$C$81</f>
        <v>706.909090909091</v>
      </c>
      <c r="L27" s="41" t="n">
        <f aca="false">L25*0.1*4*Допущения!$C$81</f>
        <v>753.454545454546</v>
      </c>
      <c r="M27" s="41" t="n">
        <f aca="false">M25*0.1*4*Допущения!$C$81</f>
        <v>800</v>
      </c>
      <c r="N27" s="41" t="n">
        <f aca="false">SUM(B27:M27)</f>
        <v>6528</v>
      </c>
    </row>
    <row r="28" customFormat="false" ht="15" hidden="false" customHeight="false" outlineLevel="0" collapsed="false">
      <c r="A28" s="7" t="s">
        <v>296</v>
      </c>
      <c r="B28" s="25" t="n">
        <f aca="false">B26+B27</f>
        <v>1368</v>
      </c>
      <c r="C28" s="25" t="n">
        <f aca="false">C26+C27</f>
        <v>1589.09090909091</v>
      </c>
      <c r="D28" s="25" t="n">
        <f aca="false">D26+D27</f>
        <v>1810.18181818182</v>
      </c>
      <c r="E28" s="25" t="n">
        <f aca="false">E26+E27</f>
        <v>2031.27272727273</v>
      </c>
      <c r="F28" s="25" t="n">
        <f aca="false">F26+F27</f>
        <v>2252.36363636364</v>
      </c>
      <c r="G28" s="25" t="n">
        <f aca="false">G26+G27</f>
        <v>2473.45454545455</v>
      </c>
      <c r="H28" s="25" t="n">
        <f aca="false">H26+H27</f>
        <v>2694.54545454545</v>
      </c>
      <c r="I28" s="25" t="n">
        <f aca="false">I26+I27</f>
        <v>2915.63636363636</v>
      </c>
      <c r="J28" s="25" t="n">
        <f aca="false">J26+J27</f>
        <v>3136.72727272727</v>
      </c>
      <c r="K28" s="25" t="n">
        <f aca="false">K26+K27</f>
        <v>3357.81818181818</v>
      </c>
      <c r="L28" s="25" t="n">
        <f aca="false">L26+L27</f>
        <v>3578.90909090909</v>
      </c>
      <c r="M28" s="25" t="n">
        <f aca="false">M26+M27</f>
        <v>3800</v>
      </c>
      <c r="N28" s="25" t="n">
        <f aca="false">SUM(B28:M28)</f>
        <v>31008</v>
      </c>
    </row>
    <row r="30" customFormat="false" ht="21.75" hidden="false" customHeight="true" outlineLevel="0" collapsed="false">
      <c r="A30" s="5" t="s">
        <v>297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20" t="s">
        <v>298</v>
      </c>
      <c r="B31" s="40" t="n">
        <f aca="false">Воронка!B14</f>
        <v>150000</v>
      </c>
      <c r="C31" s="40" t="n">
        <f aca="false">Воронка!C14</f>
        <v>150000</v>
      </c>
      <c r="D31" s="40" t="n">
        <f aca="false">Воронка!D14</f>
        <v>150000</v>
      </c>
      <c r="E31" s="40" t="n">
        <f aca="false">Воронка!E14</f>
        <v>350000</v>
      </c>
      <c r="F31" s="40" t="n">
        <f aca="false">Воронка!F14</f>
        <v>350000</v>
      </c>
      <c r="G31" s="40" t="n">
        <f aca="false">Воронка!G14</f>
        <v>350000</v>
      </c>
      <c r="H31" s="40" t="n">
        <f aca="false">Воронка!H14</f>
        <v>250000</v>
      </c>
      <c r="I31" s="40" t="n">
        <f aca="false">Воронка!I14</f>
        <v>250000</v>
      </c>
      <c r="J31" s="40" t="n">
        <f aca="false">Воронка!J14</f>
        <v>250000</v>
      </c>
      <c r="K31" s="40" t="n">
        <f aca="false">Воронка!K14</f>
        <v>200000</v>
      </c>
      <c r="L31" s="40" t="n">
        <f aca="false">Воронка!L14</f>
        <v>200000</v>
      </c>
      <c r="M31" s="40" t="n">
        <f aca="false">Воронка!M14</f>
        <v>200000</v>
      </c>
      <c r="N31" s="41" t="n">
        <f aca="false">SUM(B31:M31)</f>
        <v>2850000</v>
      </c>
    </row>
    <row r="32" customFormat="false" ht="15" hidden="false" customHeight="false" outlineLevel="0" collapsed="false">
      <c r="A32" s="20" t="s">
        <v>299</v>
      </c>
      <c r="B32" s="40" t="n">
        <f aca="false">Воронка!B21*200</f>
        <v>0</v>
      </c>
      <c r="C32" s="40" t="n">
        <f aca="false">Воронка!C21*200</f>
        <v>0</v>
      </c>
      <c r="D32" s="40" t="n">
        <f aca="false">Воронка!D21*200</f>
        <v>0</v>
      </c>
      <c r="E32" s="40" t="n">
        <f aca="false">Воронка!E21*200</f>
        <v>41412.9767912727</v>
      </c>
      <c r="F32" s="40" t="n">
        <f aca="false">Воронка!F21*200</f>
        <v>60785.509017097</v>
      </c>
      <c r="G32" s="40" t="n">
        <f aca="false">Воронка!G21*200</f>
        <v>78482.282107181</v>
      </c>
      <c r="H32" s="40" t="n">
        <f aca="false">Воронка!H21*200</f>
        <v>94660.6833595533</v>
      </c>
      <c r="I32" s="40" t="n">
        <f aca="false">Воронка!I21*200</f>
        <v>109592.987557592</v>
      </c>
      <c r="J32" s="40" t="n">
        <f aca="false">Воронка!J21*200</f>
        <v>123291.242783675</v>
      </c>
      <c r="K32" s="40" t="n">
        <f aca="false">Воронка!K21*200</f>
        <v>135870.561125904</v>
      </c>
      <c r="L32" s="40" t="n">
        <f aca="false">Воронка!L21*200</f>
        <v>148247.831817057</v>
      </c>
      <c r="M32" s="40" t="n">
        <f aca="false">Воронка!M21*200</f>
        <v>159646.673606252</v>
      </c>
      <c r="N32" s="41" t="n">
        <f aca="false">SUM(B32:M32)</f>
        <v>951990.748165585</v>
      </c>
    </row>
    <row r="33" customFormat="false" ht="15" hidden="false" customHeight="false" outlineLevel="0" collapsed="false">
      <c r="A33" s="7" t="s">
        <v>300</v>
      </c>
      <c r="B33" s="25" t="n">
        <f aca="false">B31+B32</f>
        <v>150000</v>
      </c>
      <c r="C33" s="25" t="n">
        <f aca="false">C31+C32</f>
        <v>150000</v>
      </c>
      <c r="D33" s="25" t="n">
        <f aca="false">D31+D32</f>
        <v>150000</v>
      </c>
      <c r="E33" s="25" t="n">
        <f aca="false">E31+E32</f>
        <v>391412.976791273</v>
      </c>
      <c r="F33" s="25" t="n">
        <f aca="false">F31+F32</f>
        <v>410785.509017097</v>
      </c>
      <c r="G33" s="25" t="n">
        <f aca="false">G31+G32</f>
        <v>428482.282107181</v>
      </c>
      <c r="H33" s="25" t="n">
        <f aca="false">H31+H32</f>
        <v>344660.683359553</v>
      </c>
      <c r="I33" s="25" t="n">
        <f aca="false">I31+I32</f>
        <v>359592.987557592</v>
      </c>
      <c r="J33" s="25" t="n">
        <f aca="false">J31+J32</f>
        <v>373291.242783675</v>
      </c>
      <c r="K33" s="25" t="n">
        <f aca="false">K31+K32</f>
        <v>335870.561125904</v>
      </c>
      <c r="L33" s="25" t="n">
        <f aca="false">L31+L32</f>
        <v>348247.831817057</v>
      </c>
      <c r="M33" s="25" t="n">
        <f aca="false">M31+M32</f>
        <v>359646.673606252</v>
      </c>
      <c r="N33" s="25" t="n">
        <f aca="false">SUM(B33:M33)</f>
        <v>3801990.74816558</v>
      </c>
    </row>
    <row r="35" customFormat="false" ht="21.75" hidden="false" customHeight="true" outlineLevel="0" collapsed="false">
      <c r="A35" s="5" t="s">
        <v>301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customFormat="false" ht="15" hidden="false" customHeight="false" outlineLevel="0" collapsed="false">
      <c r="A36" s="20" t="s">
        <v>302</v>
      </c>
      <c r="B36" s="40" t="n">
        <f aca="false">Доходы!B22*Допущения!$C$87</f>
        <v>0</v>
      </c>
      <c r="C36" s="40" t="n">
        <f aca="false">Доходы!C22*Допущения!$C$87</f>
        <v>0</v>
      </c>
      <c r="D36" s="40" t="n">
        <f aca="false">Доходы!D22*Допущения!$C$87</f>
        <v>125000</v>
      </c>
      <c r="E36" s="40" t="n">
        <f aca="false">Доходы!E22*Допущения!$C$87</f>
        <v>125000</v>
      </c>
      <c r="F36" s="40" t="n">
        <f aca="false">Доходы!F22*Допущения!$C$87</f>
        <v>125000</v>
      </c>
      <c r="G36" s="40" t="n">
        <f aca="false">Доходы!G22*Допущения!$C$87</f>
        <v>125000</v>
      </c>
      <c r="H36" s="40" t="n">
        <f aca="false">Доходы!H22*Допущения!$C$87</f>
        <v>125000</v>
      </c>
      <c r="I36" s="40" t="n">
        <f aca="false">Доходы!I22*Допущения!$C$87</f>
        <v>250000</v>
      </c>
      <c r="J36" s="40" t="n">
        <f aca="false">Доходы!J22*Допущения!$C$87</f>
        <v>125000</v>
      </c>
      <c r="K36" s="40" t="n">
        <f aca="false">Доходы!K22*Допущения!$C$87</f>
        <v>125000</v>
      </c>
      <c r="L36" s="40" t="n">
        <f aca="false">Доходы!L22*Допущения!$C$87</f>
        <v>250000</v>
      </c>
      <c r="M36" s="40" t="n">
        <f aca="false">Доходы!M22*Допущения!$C$87</f>
        <v>125000</v>
      </c>
      <c r="N36" s="41" t="n">
        <f aca="false">SUM(B36:M36)</f>
        <v>1500000</v>
      </c>
    </row>
    <row r="37" customFormat="false" ht="15" hidden="false" customHeight="false" outlineLevel="0" collapsed="false">
      <c r="A37" s="20" t="s">
        <v>303</v>
      </c>
      <c r="B37" s="50" t="n">
        <v>0</v>
      </c>
      <c r="C37" s="50" t="n">
        <v>0</v>
      </c>
      <c r="D37" s="40" t="n">
        <f aca="false">Допущения!$C$89</f>
        <v>200000</v>
      </c>
      <c r="E37" s="50" t="n">
        <v>0</v>
      </c>
      <c r="F37" s="50" t="n">
        <v>0</v>
      </c>
      <c r="G37" s="40" t="n">
        <f aca="false">Допущения!$C$89</f>
        <v>200000</v>
      </c>
      <c r="H37" s="50" t="n">
        <v>0</v>
      </c>
      <c r="I37" s="50" t="n">
        <v>0</v>
      </c>
      <c r="J37" s="40" t="n">
        <f aca="false">Допущения!$C$89</f>
        <v>200000</v>
      </c>
      <c r="K37" s="50" t="n">
        <v>0</v>
      </c>
      <c r="L37" s="50" t="n">
        <v>0</v>
      </c>
      <c r="M37" s="40" t="n">
        <f aca="false">Допущения!$C$89</f>
        <v>200000</v>
      </c>
      <c r="N37" s="41" t="n">
        <f aca="false">SUM(B37:M37)</f>
        <v>800000</v>
      </c>
    </row>
    <row r="38" customFormat="false" ht="15" hidden="false" customHeight="false" outlineLevel="0" collapsed="false">
      <c r="A38" s="7" t="s">
        <v>304</v>
      </c>
      <c r="B38" s="25" t="n">
        <f aca="false">B36+B37</f>
        <v>0</v>
      </c>
      <c r="C38" s="25" t="n">
        <f aca="false">C36+C37</f>
        <v>0</v>
      </c>
      <c r="D38" s="25" t="n">
        <f aca="false">D36+D37</f>
        <v>325000</v>
      </c>
      <c r="E38" s="25" t="n">
        <f aca="false">E36+E37</f>
        <v>125000</v>
      </c>
      <c r="F38" s="25" t="n">
        <f aca="false">F36+F37</f>
        <v>125000</v>
      </c>
      <c r="G38" s="25" t="n">
        <f aca="false">G36+G37</f>
        <v>325000</v>
      </c>
      <c r="H38" s="25" t="n">
        <f aca="false">H36+H37</f>
        <v>125000</v>
      </c>
      <c r="I38" s="25" t="n">
        <f aca="false">I36+I37</f>
        <v>250000</v>
      </c>
      <c r="J38" s="25" t="n">
        <f aca="false">J36+J37</f>
        <v>325000</v>
      </c>
      <c r="K38" s="25" t="n">
        <f aca="false">K36+K37</f>
        <v>125000</v>
      </c>
      <c r="L38" s="25" t="n">
        <f aca="false">L36+L37</f>
        <v>250000</v>
      </c>
      <c r="M38" s="25" t="n">
        <f aca="false">M36+M37</f>
        <v>325000</v>
      </c>
      <c r="N38" s="25" t="n">
        <f aca="false">SUM(B38:M38)</f>
        <v>2300000</v>
      </c>
    </row>
    <row r="40" customFormat="false" ht="21.75" hidden="false" customHeight="true" outlineLevel="0" collapsed="false">
      <c r="A40" s="5" t="s">
        <v>305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A41" s="20" t="s">
        <v>204</v>
      </c>
      <c r="B41" s="40" t="n">
        <f aca="false">Допущения!$C$93</f>
        <v>55000</v>
      </c>
      <c r="C41" s="40" t="n">
        <f aca="false">Допущения!$C$93</f>
        <v>55000</v>
      </c>
      <c r="D41" s="40" t="n">
        <f aca="false">Допущения!$C$93</f>
        <v>55000</v>
      </c>
      <c r="E41" s="40" t="n">
        <f aca="false">Допущения!$C$93</f>
        <v>55000</v>
      </c>
      <c r="F41" s="40" t="n">
        <f aca="false">Допущения!$C$93</f>
        <v>55000</v>
      </c>
      <c r="G41" s="40" t="n">
        <f aca="false">Допущения!$C$93</f>
        <v>55000</v>
      </c>
      <c r="H41" s="40" t="n">
        <f aca="false">Допущения!$C$93</f>
        <v>55000</v>
      </c>
      <c r="I41" s="40" t="n">
        <f aca="false">Допущения!$C$93</f>
        <v>55000</v>
      </c>
      <c r="J41" s="40" t="n">
        <f aca="false">Допущения!$C$93</f>
        <v>55000</v>
      </c>
      <c r="K41" s="40" t="n">
        <f aca="false">Допущения!$C$93</f>
        <v>55000</v>
      </c>
      <c r="L41" s="40" t="n">
        <f aca="false">Допущения!$C$93</f>
        <v>55000</v>
      </c>
      <c r="M41" s="40" t="n">
        <f aca="false">Допущения!$C$93</f>
        <v>55000</v>
      </c>
      <c r="N41" s="41" t="n">
        <f aca="false">SUM(B41:M41)</f>
        <v>660000</v>
      </c>
    </row>
    <row r="42" customFormat="false" ht="15" hidden="false" customHeight="false" outlineLevel="0" collapsed="false">
      <c r="A42" s="20" t="s">
        <v>306</v>
      </c>
      <c r="B42" s="40" t="n">
        <f aca="false">Допущения!$C$94</f>
        <v>40000</v>
      </c>
      <c r="C42" s="40" t="n">
        <f aca="false">Допущения!$C$94</f>
        <v>40000</v>
      </c>
      <c r="D42" s="40" t="n">
        <f aca="false">Допущения!$C$94</f>
        <v>40000</v>
      </c>
      <c r="E42" s="40" t="n">
        <f aca="false">Допущения!$C$94</f>
        <v>40000</v>
      </c>
      <c r="F42" s="40" t="n">
        <f aca="false">Допущения!$C$94</f>
        <v>40000</v>
      </c>
      <c r="G42" s="40" t="n">
        <f aca="false">Допущения!$C$94</f>
        <v>40000</v>
      </c>
      <c r="H42" s="40" t="n">
        <f aca="false">Допущения!$C$94</f>
        <v>40000</v>
      </c>
      <c r="I42" s="40" t="n">
        <f aca="false">Допущения!$C$94</f>
        <v>40000</v>
      </c>
      <c r="J42" s="40" t="n">
        <f aca="false">Допущения!$C$94</f>
        <v>40000</v>
      </c>
      <c r="K42" s="40" t="n">
        <f aca="false">Допущения!$C$94</f>
        <v>40000</v>
      </c>
      <c r="L42" s="40" t="n">
        <f aca="false">Допущения!$C$94</f>
        <v>40000</v>
      </c>
      <c r="M42" s="40" t="n">
        <f aca="false">Допущения!$C$94</f>
        <v>40000</v>
      </c>
      <c r="N42" s="41" t="n">
        <f aca="false">SUM(B42:M42)</f>
        <v>480000</v>
      </c>
    </row>
    <row r="43" customFormat="false" ht="15" hidden="false" customHeight="false" outlineLevel="0" collapsed="false">
      <c r="A43" s="20" t="s">
        <v>307</v>
      </c>
      <c r="B43" s="40" t="n">
        <f aca="false">Доходы!B18*Допущения!$C$96</f>
        <v>84.345952509</v>
      </c>
      <c r="C43" s="40" t="n">
        <f aca="false">Доходы!C18*Допущения!$C$96</f>
        <v>238.529250802653</v>
      </c>
      <c r="D43" s="40" t="n">
        <f aca="false">Доходы!D18*Допущения!$C$96</f>
        <v>449.978069746922</v>
      </c>
      <c r="E43" s="40" t="n">
        <f aca="false">Доходы!E18*Допущения!$C$96</f>
        <v>1090.72199197892</v>
      </c>
      <c r="F43" s="40" t="n">
        <f aca="false">Доходы!F18*Допущения!$C$96</f>
        <v>1877.2295524617</v>
      </c>
      <c r="G43" s="40" t="n">
        <f aca="false">Доходы!G18*Допущения!$C$96</f>
        <v>2780.93519942386</v>
      </c>
      <c r="H43" s="40" t="n">
        <f aca="false">Доходы!H18*Допущения!$C$96</f>
        <v>4444.27341771807</v>
      </c>
      <c r="I43" s="40" t="n">
        <f aca="false">Доходы!I18*Допущения!$C$96</f>
        <v>6236.57113501401</v>
      </c>
      <c r="J43" s="40" t="n">
        <f aca="false">Доходы!J18*Допущения!$C$96</f>
        <v>8131.40462282819</v>
      </c>
      <c r="K43" s="40" t="n">
        <f aca="false">Доходы!K18*Допущения!$C$96</f>
        <v>10944.4899581025</v>
      </c>
      <c r="L43" s="40" t="n">
        <f aca="false">Доходы!L18*Допущения!$C$96</f>
        <v>13842.603196387</v>
      </c>
      <c r="M43" s="40" t="n">
        <f aca="false">Доходы!M18*Допущения!$C$96</f>
        <v>16800.878179046</v>
      </c>
      <c r="N43" s="41" t="n">
        <f aca="false">SUM(B43:M43)</f>
        <v>66921.9605260189</v>
      </c>
    </row>
    <row r="44" customFormat="false" ht="15" hidden="false" customHeight="false" outlineLevel="0" collapsed="false">
      <c r="A44" s="7" t="s">
        <v>308</v>
      </c>
      <c r="B44" s="25" t="n">
        <f aca="false">B41+B42+B43</f>
        <v>95084.345952509</v>
      </c>
      <c r="C44" s="25" t="n">
        <f aca="false">C41+C42+C43</f>
        <v>95238.5292508027</v>
      </c>
      <c r="D44" s="25" t="n">
        <f aca="false">D41+D42+D43</f>
        <v>95449.9780697469</v>
      </c>
      <c r="E44" s="25" t="n">
        <f aca="false">E41+E42+E43</f>
        <v>96090.7219919789</v>
      </c>
      <c r="F44" s="25" t="n">
        <f aca="false">F41+F42+F43</f>
        <v>96877.2295524617</v>
      </c>
      <c r="G44" s="25" t="n">
        <f aca="false">G41+G42+G43</f>
        <v>97780.9351994239</v>
      </c>
      <c r="H44" s="25" t="n">
        <f aca="false">H41+H42+H43</f>
        <v>99444.2734177181</v>
      </c>
      <c r="I44" s="25" t="n">
        <f aca="false">I41+I42+I43</f>
        <v>101236.571135014</v>
      </c>
      <c r="J44" s="25" t="n">
        <f aca="false">J41+J42+J43</f>
        <v>103131.404622828</v>
      </c>
      <c r="K44" s="25" t="n">
        <f aca="false">K41+K42+K43</f>
        <v>105944.489958102</v>
      </c>
      <c r="L44" s="25" t="n">
        <f aca="false">L41+L42+L43</f>
        <v>108842.603196387</v>
      </c>
      <c r="M44" s="25" t="n">
        <f aca="false">M41+M42+M43</f>
        <v>111800.878179046</v>
      </c>
      <c r="N44" s="25" t="n">
        <f aca="false">SUM(B44:M44)</f>
        <v>1206921.96052602</v>
      </c>
    </row>
    <row r="46" customFormat="false" ht="21.75" hidden="false" customHeight="true" outlineLevel="0" collapsed="false">
      <c r="A46" s="5" t="s">
        <v>309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customFormat="false" ht="15" hidden="false" customHeight="false" outlineLevel="0" collapsed="false">
      <c r="A47" s="19" t="s">
        <v>310</v>
      </c>
      <c r="B47" s="51" t="n">
        <f aca="false">B17+B22+B28+B33+B38+B44</f>
        <v>1971452.34595251</v>
      </c>
      <c r="C47" s="51" t="n">
        <f aca="false">C17+C22+C28+C33+C38+C44</f>
        <v>1971827.62015989</v>
      </c>
      <c r="D47" s="51" t="n">
        <f aca="false">D17+D22+D28+D33+D38+D44</f>
        <v>2297260.15988793</v>
      </c>
      <c r="E47" s="51" t="n">
        <f aca="false">E17+E22+E28+E33+E38+E44</f>
        <v>2508534.97151052</v>
      </c>
      <c r="F47" s="51" t="n">
        <f aca="false">F17+F22+F28+F33+F38+F44</f>
        <v>2530158.98731151</v>
      </c>
      <c r="G47" s="51" t="n">
        <f aca="false">G17+G22+G28+G33+G38+G44</f>
        <v>2751710.66216898</v>
      </c>
      <c r="H47" s="51" t="n">
        <f aca="false">H17+H22+H28+H33+H38+H44</f>
        <v>2615293.31888216</v>
      </c>
      <c r="I47" s="51" t="n">
        <f aca="false">I17+I22+I28+I33+I38+I44</f>
        <v>2759550.59227599</v>
      </c>
      <c r="J47" s="51" t="n">
        <f aca="false">J17+J22+J28+J33+J38+J44</f>
        <v>2852487.53186923</v>
      </c>
      <c r="K47" s="51" t="n">
        <f aca="false">K17+K22+K28+K33+K38+K44</f>
        <v>2620189.69088495</v>
      </c>
      <c r="L47" s="51" t="n">
        <f aca="false">L17+L22+L28+L33+L38+L44</f>
        <v>2762609.72027541</v>
      </c>
      <c r="M47" s="51" t="n">
        <f aca="false">M17+M22+M28+M33+M38+M44</f>
        <v>2853961.69482768</v>
      </c>
      <c r="N47" s="51" t="n">
        <f aca="false">SUM(B47:M47)</f>
        <v>30495037.2960068</v>
      </c>
    </row>
    <row r="48" customFormat="false" ht="15" hidden="false" customHeight="false" outlineLevel="0" collapsed="false">
      <c r="A48" s="32" t="s">
        <v>311</v>
      </c>
      <c r="B48" s="41" t="n">
        <f aca="false">SUM($B$47:B47)</f>
        <v>1971452.34595251</v>
      </c>
      <c r="C48" s="41" t="n">
        <f aca="false">SUM($B$47:C47)</f>
        <v>3943279.9661124</v>
      </c>
      <c r="D48" s="41" t="n">
        <f aca="false">SUM($B$47:D47)</f>
        <v>6240540.12600033</v>
      </c>
      <c r="E48" s="41" t="n">
        <f aca="false">SUM($B$47:E47)</f>
        <v>8749075.09751086</v>
      </c>
      <c r="F48" s="41" t="n">
        <f aca="false">SUM($B$47:F47)</f>
        <v>11279234.0848224</v>
      </c>
      <c r="G48" s="41" t="n">
        <f aca="false">SUM($B$47:G47)</f>
        <v>14030944.7469913</v>
      </c>
      <c r="H48" s="41" t="n">
        <f aca="false">SUM($B$47:H47)</f>
        <v>16646238.0658735</v>
      </c>
      <c r="I48" s="41" t="n">
        <f aca="false">SUM($B$47:I47)</f>
        <v>19405788.6581495</v>
      </c>
      <c r="J48" s="41" t="n">
        <f aca="false">SUM($B$47:J47)</f>
        <v>22258276.1900187</v>
      </c>
      <c r="K48" s="41" t="n">
        <f aca="false">SUM($B$47:K47)</f>
        <v>24878465.8809037</v>
      </c>
      <c r="L48" s="41" t="n">
        <f aca="false">SUM($B$47:L47)</f>
        <v>27641075.6011791</v>
      </c>
      <c r="M48" s="41" t="n">
        <f aca="false">SUM($B$47:M47)</f>
        <v>30495037.2960068</v>
      </c>
    </row>
    <row r="50" customFormat="false" ht="21.75" hidden="false" customHeight="true" outlineLevel="0" collapsed="false">
      <c r="A50" s="5" t="s">
        <v>312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customFormat="false" ht="15" hidden="false" customHeight="false" outlineLevel="0" collapsed="false">
      <c r="A51" s="44" t="s">
        <v>313</v>
      </c>
      <c r="N51" s="21" t="n">
        <v>24200000</v>
      </c>
    </row>
    <row r="52" customFormat="false" ht="15" hidden="false" customHeight="false" outlineLevel="0" collapsed="false">
      <c r="A52" s="44" t="s">
        <v>314</v>
      </c>
      <c r="N52" s="25" t="n">
        <f aca="false">N47</f>
        <v>30495037.2960068</v>
      </c>
    </row>
    <row r="53" customFormat="false" ht="15" hidden="false" customHeight="false" outlineLevel="0" collapsed="false">
      <c r="A53" s="44" t="s">
        <v>315</v>
      </c>
      <c r="N53" s="49" t="n">
        <f aca="false">(N47-N51)/N51</f>
        <v>0.260125508099453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4"/>
  </cols>
  <sheetData>
    <row r="2" customFormat="false" ht="25.5" hidden="false" customHeight="true" outlineLevel="0" collapsed="false">
      <c r="A2" s="33" t="s">
        <v>316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.75" hidden="false" customHeight="true" outlineLevel="0" collapsed="false">
      <c r="B4" s="34" t="s">
        <v>213</v>
      </c>
      <c r="C4" s="34" t="s">
        <v>213</v>
      </c>
      <c r="D4" s="34" t="s">
        <v>213</v>
      </c>
      <c r="E4" s="35" t="s">
        <v>214</v>
      </c>
      <c r="F4" s="35" t="s">
        <v>214</v>
      </c>
      <c r="G4" s="35" t="s">
        <v>214</v>
      </c>
      <c r="H4" s="36" t="s">
        <v>215</v>
      </c>
      <c r="I4" s="36" t="s">
        <v>215</v>
      </c>
      <c r="J4" s="36" t="s">
        <v>215</v>
      </c>
      <c r="K4" s="37" t="s">
        <v>216</v>
      </c>
      <c r="L4" s="37" t="s">
        <v>216</v>
      </c>
      <c r="M4" s="37" t="s">
        <v>216</v>
      </c>
    </row>
    <row r="5" customFormat="false" ht="31.5" hidden="false" customHeight="true" outlineLevel="0" collapsed="false">
      <c r="B5" s="38" t="s">
        <v>217</v>
      </c>
      <c r="C5" s="38" t="s">
        <v>218</v>
      </c>
      <c r="D5" s="38" t="s">
        <v>219</v>
      </c>
      <c r="E5" s="38" t="s">
        <v>220</v>
      </c>
      <c r="F5" s="38" t="s">
        <v>221</v>
      </c>
      <c r="G5" s="38" t="s">
        <v>222</v>
      </c>
      <c r="H5" s="38" t="s">
        <v>223</v>
      </c>
      <c r="I5" s="38" t="s">
        <v>224</v>
      </c>
      <c r="J5" s="38" t="s">
        <v>225</v>
      </c>
      <c r="K5" s="38" t="s">
        <v>226</v>
      </c>
      <c r="L5" s="38" t="s">
        <v>227</v>
      </c>
      <c r="M5" s="38" t="s">
        <v>228</v>
      </c>
      <c r="N5" s="39" t="s">
        <v>229</v>
      </c>
    </row>
    <row r="6" customFormat="false" ht="21.75" hidden="false" customHeight="true" outlineLevel="0" collapsed="false">
      <c r="A6" s="5" t="s">
        <v>317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20" t="s">
        <v>318</v>
      </c>
      <c r="B7" s="40" t="n">
        <f aca="false">Доходы!B18</f>
        <v>2908.481121</v>
      </c>
      <c r="C7" s="40" t="n">
        <f aca="false">Доходы!C18</f>
        <v>8225.14657940182</v>
      </c>
      <c r="D7" s="40" t="n">
        <f aca="false">Доходы!D18</f>
        <v>15516.485163687</v>
      </c>
      <c r="E7" s="40" t="n">
        <f aca="false">Доходы!E18</f>
        <v>37611.1031716869</v>
      </c>
      <c r="F7" s="40" t="n">
        <f aca="false">Доходы!F18</f>
        <v>64732.0535331619</v>
      </c>
      <c r="G7" s="40" t="n">
        <f aca="false">Доходы!G18</f>
        <v>95894.3172215125</v>
      </c>
      <c r="H7" s="40" t="n">
        <f aca="false">Доходы!H18</f>
        <v>153250.80750752</v>
      </c>
      <c r="I7" s="40" t="n">
        <f aca="false">Доходы!I18</f>
        <v>215054.177069449</v>
      </c>
      <c r="J7" s="40" t="n">
        <f aca="false">Доходы!J18</f>
        <v>280393.262856144</v>
      </c>
      <c r="K7" s="40" t="n">
        <f aca="false">Доходы!K18</f>
        <v>377396.20545181</v>
      </c>
      <c r="L7" s="40" t="n">
        <f aca="false">Доходы!L18</f>
        <v>477331.144703002</v>
      </c>
      <c r="M7" s="40" t="n">
        <f aca="false">Доходы!M18</f>
        <v>579340.626863656</v>
      </c>
      <c r="N7" s="41" t="n">
        <f aca="false">SUM(B7:M7)</f>
        <v>2307653.81124203</v>
      </c>
    </row>
    <row r="8" customFormat="false" ht="15" hidden="false" customHeight="false" outlineLevel="0" collapsed="false">
      <c r="A8" s="20" t="s">
        <v>319</v>
      </c>
      <c r="B8" s="40" t="n">
        <f aca="false">Доходы!B23</f>
        <v>0</v>
      </c>
      <c r="C8" s="40" t="n">
        <f aca="false">Доходы!C23</f>
        <v>0</v>
      </c>
      <c r="D8" s="40" t="n">
        <f aca="false">Доходы!D23</f>
        <v>180000</v>
      </c>
      <c r="E8" s="40" t="n">
        <f aca="false">Доходы!E23</f>
        <v>180000</v>
      </c>
      <c r="F8" s="40" t="n">
        <f aca="false">Доходы!F23</f>
        <v>180000</v>
      </c>
      <c r="G8" s="40" t="n">
        <f aca="false">Доходы!G23</f>
        <v>180000</v>
      </c>
      <c r="H8" s="40" t="n">
        <f aca="false">Доходы!H23</f>
        <v>180000</v>
      </c>
      <c r="I8" s="40" t="n">
        <f aca="false">Доходы!I23</f>
        <v>360000</v>
      </c>
      <c r="J8" s="40" t="n">
        <f aca="false">Доходы!J23</f>
        <v>180000</v>
      </c>
      <c r="K8" s="40" t="n">
        <f aca="false">Доходы!K23</f>
        <v>180000</v>
      </c>
      <c r="L8" s="40" t="n">
        <f aca="false">Доходы!L23</f>
        <v>360000</v>
      </c>
      <c r="M8" s="40" t="n">
        <f aca="false">Доходы!M23</f>
        <v>180000</v>
      </c>
      <c r="N8" s="41" t="n">
        <f aca="false">SUM(B8:M8)</f>
        <v>2160000</v>
      </c>
    </row>
    <row r="9" customFormat="false" ht="15" hidden="false" customHeight="false" outlineLevel="0" collapsed="false">
      <c r="A9" s="7" t="s">
        <v>320</v>
      </c>
      <c r="B9" s="43" t="n">
        <f aca="false">SUM(B7:B8)</f>
        <v>2908.481121</v>
      </c>
      <c r="C9" s="43" t="n">
        <f aca="false">SUM(C7:C8)</f>
        <v>8225.14657940182</v>
      </c>
      <c r="D9" s="43" t="n">
        <f aca="false">SUM(D7:D8)</f>
        <v>195516.485163687</v>
      </c>
      <c r="E9" s="43" t="n">
        <f aca="false">SUM(E7:E8)</f>
        <v>217611.103171687</v>
      </c>
      <c r="F9" s="43" t="n">
        <f aca="false">SUM(F7:F8)</f>
        <v>244732.053533162</v>
      </c>
      <c r="G9" s="43" t="n">
        <f aca="false">SUM(G7:G8)</f>
        <v>275894.317221512</v>
      </c>
      <c r="H9" s="43" t="n">
        <f aca="false">SUM(H7:H8)</f>
        <v>333250.80750752</v>
      </c>
      <c r="I9" s="43" t="n">
        <f aca="false">SUM(I7:I8)</f>
        <v>575054.177069449</v>
      </c>
      <c r="J9" s="43" t="n">
        <f aca="false">SUM(J7:J8)</f>
        <v>460393.262856144</v>
      </c>
      <c r="K9" s="43" t="n">
        <f aca="false">SUM(K7:K8)</f>
        <v>557396.20545181</v>
      </c>
      <c r="L9" s="43" t="n">
        <f aca="false">SUM(L7:L8)</f>
        <v>837331.144703002</v>
      </c>
      <c r="M9" s="43" t="n">
        <f aca="false">SUM(M7:M8)</f>
        <v>759340.626863656</v>
      </c>
      <c r="N9" s="43" t="n">
        <f aca="false">SUM(B9:M9)</f>
        <v>4467653.81124203</v>
      </c>
    </row>
    <row r="11" customFormat="false" ht="21.75" hidden="false" customHeight="true" outlineLevel="0" collapsed="false">
      <c r="A11" s="5" t="s">
        <v>321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20" t="s">
        <v>322</v>
      </c>
      <c r="B12" s="40" t="n">
        <f aca="false">Расходы!B22</f>
        <v>35000</v>
      </c>
      <c r="C12" s="40" t="n">
        <f aca="false">Расходы!C22</f>
        <v>35000</v>
      </c>
      <c r="D12" s="40" t="n">
        <f aca="false">Расходы!D22</f>
        <v>35000</v>
      </c>
      <c r="E12" s="40" t="n">
        <f aca="false">Расходы!E22</f>
        <v>35000</v>
      </c>
      <c r="F12" s="40" t="n">
        <f aca="false">Расходы!F22</f>
        <v>36243.8851055868</v>
      </c>
      <c r="G12" s="40" t="n">
        <f aca="false">Расходы!G22</f>
        <v>38973.9903169246</v>
      </c>
      <c r="H12" s="40" t="n">
        <f aca="false">Расходы!H22</f>
        <v>41493.8166503437</v>
      </c>
      <c r="I12" s="40" t="n">
        <f aca="false">Расходы!I22</f>
        <v>43805.3972197451</v>
      </c>
      <c r="J12" s="40" t="n">
        <f aca="false">Расходы!J22</f>
        <v>45928.1571899964</v>
      </c>
      <c r="K12" s="40" t="n">
        <f aca="false">Расходы!K22</f>
        <v>48016.8216191284</v>
      </c>
      <c r="L12" s="40" t="n">
        <f aca="false">Расходы!L22</f>
        <v>49940.3761710551</v>
      </c>
      <c r="M12" s="40" t="n">
        <f aca="false">Расходы!M22</f>
        <v>51714.1430423812</v>
      </c>
      <c r="N12" s="41" t="n">
        <f aca="false">SUM(B12:M12)</f>
        <v>496116.587315161</v>
      </c>
    </row>
    <row r="13" customFormat="false" ht="15" hidden="false" customHeight="false" outlineLevel="0" collapsed="false">
      <c r="A13" s="20" t="s">
        <v>323</v>
      </c>
      <c r="B13" s="40" t="n">
        <f aca="false">Расходы!B28</f>
        <v>1368</v>
      </c>
      <c r="C13" s="40" t="n">
        <f aca="false">Расходы!C28</f>
        <v>1589.09090909091</v>
      </c>
      <c r="D13" s="40" t="n">
        <f aca="false">Расходы!D28</f>
        <v>1810.18181818182</v>
      </c>
      <c r="E13" s="40" t="n">
        <f aca="false">Расходы!E28</f>
        <v>2031.27272727273</v>
      </c>
      <c r="F13" s="40" t="n">
        <f aca="false">Расходы!F28</f>
        <v>2252.36363636364</v>
      </c>
      <c r="G13" s="40" t="n">
        <f aca="false">Расходы!G28</f>
        <v>2473.45454545455</v>
      </c>
      <c r="H13" s="40" t="n">
        <f aca="false">Расходы!H28</f>
        <v>2694.54545454545</v>
      </c>
      <c r="I13" s="40" t="n">
        <f aca="false">Расходы!I28</f>
        <v>2915.63636363636</v>
      </c>
      <c r="J13" s="40" t="n">
        <f aca="false">Расходы!J28</f>
        <v>3136.72727272727</v>
      </c>
      <c r="K13" s="40" t="n">
        <f aca="false">Расходы!K28</f>
        <v>3357.81818181818</v>
      </c>
      <c r="L13" s="40" t="n">
        <f aca="false">Расходы!L28</f>
        <v>3578.90909090909</v>
      </c>
      <c r="M13" s="40" t="n">
        <f aca="false">Расходы!M28</f>
        <v>3800</v>
      </c>
      <c r="N13" s="41" t="n">
        <f aca="false">SUM(B13:M13)</f>
        <v>31008</v>
      </c>
    </row>
    <row r="14" customFormat="false" ht="15" hidden="false" customHeight="false" outlineLevel="0" collapsed="false">
      <c r="A14" s="20" t="s">
        <v>324</v>
      </c>
      <c r="B14" s="40" t="n">
        <f aca="false">Расходы!B43</f>
        <v>84.345952509</v>
      </c>
      <c r="C14" s="40" t="n">
        <f aca="false">Расходы!C43</f>
        <v>238.529250802653</v>
      </c>
      <c r="D14" s="40" t="n">
        <f aca="false">Расходы!D43</f>
        <v>449.978069746922</v>
      </c>
      <c r="E14" s="40" t="n">
        <f aca="false">Расходы!E43</f>
        <v>1090.72199197892</v>
      </c>
      <c r="F14" s="40" t="n">
        <f aca="false">Расходы!F43</f>
        <v>1877.2295524617</v>
      </c>
      <c r="G14" s="40" t="n">
        <f aca="false">Расходы!G43</f>
        <v>2780.93519942386</v>
      </c>
      <c r="H14" s="40" t="n">
        <f aca="false">Расходы!H43</f>
        <v>4444.27341771807</v>
      </c>
      <c r="I14" s="40" t="n">
        <f aca="false">Расходы!I43</f>
        <v>6236.57113501401</v>
      </c>
      <c r="J14" s="40" t="n">
        <f aca="false">Расходы!J43</f>
        <v>8131.40462282819</v>
      </c>
      <c r="K14" s="40" t="n">
        <f aca="false">Расходы!K43</f>
        <v>10944.4899581025</v>
      </c>
      <c r="L14" s="40" t="n">
        <f aca="false">Расходы!L43</f>
        <v>13842.603196387</v>
      </c>
      <c r="M14" s="40" t="n">
        <f aca="false">Расходы!M43</f>
        <v>16800.878179046</v>
      </c>
      <c r="N14" s="41" t="n">
        <f aca="false">SUM(B14:M14)</f>
        <v>66921.9605260189</v>
      </c>
    </row>
    <row r="15" customFormat="false" ht="15" hidden="false" customHeight="false" outlineLevel="0" collapsed="false">
      <c r="A15" s="7" t="s">
        <v>325</v>
      </c>
      <c r="B15" s="25" t="n">
        <f aca="false">SUM(B12:B14)</f>
        <v>36452.345952509</v>
      </c>
      <c r="C15" s="25" t="n">
        <f aca="false">SUM(C12:C14)</f>
        <v>36827.6201598936</v>
      </c>
      <c r="D15" s="25" t="n">
        <f aca="false">SUM(D12:D14)</f>
        <v>37260.1598879287</v>
      </c>
      <c r="E15" s="25" t="n">
        <f aca="false">SUM(E12:E14)</f>
        <v>38121.9947192517</v>
      </c>
      <c r="F15" s="25" t="n">
        <f aca="false">SUM(F12:F14)</f>
        <v>40373.4782944121</v>
      </c>
      <c r="G15" s="25" t="n">
        <f aca="false">SUM(G12:G14)</f>
        <v>44228.380061803</v>
      </c>
      <c r="H15" s="25" t="n">
        <f aca="false">SUM(H12:H14)</f>
        <v>48632.6355226072</v>
      </c>
      <c r="I15" s="25" t="n">
        <f aca="false">SUM(I12:I14)</f>
        <v>52957.6047183955</v>
      </c>
      <c r="J15" s="25" t="n">
        <f aca="false">SUM(J12:J14)</f>
        <v>57196.2890855518</v>
      </c>
      <c r="K15" s="25" t="n">
        <f aca="false">SUM(K12:K14)</f>
        <v>62319.129759049</v>
      </c>
      <c r="L15" s="25" t="n">
        <f aca="false">SUM(L12:L14)</f>
        <v>67361.8884583512</v>
      </c>
      <c r="M15" s="25" t="n">
        <f aca="false">SUM(M12:M14)</f>
        <v>72315.0212214272</v>
      </c>
      <c r="N15" s="25" t="n">
        <f aca="false">SUM(B15:M15)</f>
        <v>594046.54784118</v>
      </c>
    </row>
    <row r="17" customFormat="false" ht="15" hidden="false" customHeight="false" outlineLevel="0" collapsed="false">
      <c r="A17" s="46" t="s">
        <v>326</v>
      </c>
      <c r="B17" s="43" t="n">
        <f aca="false">B9-B15</f>
        <v>-33543.864831509</v>
      </c>
      <c r="C17" s="43" t="n">
        <f aca="false">C9-C15</f>
        <v>-28602.4735804917</v>
      </c>
      <c r="D17" s="43" t="n">
        <f aca="false">D9-D15</f>
        <v>158256.325275758</v>
      </c>
      <c r="E17" s="43" t="n">
        <f aca="false">E9-E15</f>
        <v>179489.108452435</v>
      </c>
      <c r="F17" s="43" t="n">
        <f aca="false">F9-F15</f>
        <v>204358.57523875</v>
      </c>
      <c r="G17" s="43" t="n">
        <f aca="false">G9-G15</f>
        <v>231665.937159709</v>
      </c>
      <c r="H17" s="43" t="n">
        <f aca="false">H9-H15</f>
        <v>284618.171984912</v>
      </c>
      <c r="I17" s="43" t="n">
        <f aca="false">I9-I15</f>
        <v>522096.572351053</v>
      </c>
      <c r="J17" s="43" t="n">
        <f aca="false">J9-J15</f>
        <v>403196.973770593</v>
      </c>
      <c r="K17" s="43" t="n">
        <f aca="false">K9-K15</f>
        <v>495077.075692761</v>
      </c>
      <c r="L17" s="43" t="n">
        <f aca="false">L9-L15</f>
        <v>769969.25624465</v>
      </c>
      <c r="M17" s="43" t="n">
        <f aca="false">M9-M15</f>
        <v>687025.605642229</v>
      </c>
      <c r="N17" s="43" t="n">
        <f aca="false">SUM(B17:M17)</f>
        <v>3873607.26340085</v>
      </c>
    </row>
    <row r="18" customFormat="false" ht="15" hidden="false" customHeight="false" outlineLevel="0" collapsed="false">
      <c r="A18" s="32" t="s">
        <v>327</v>
      </c>
      <c r="B18" s="52" t="n">
        <f aca="false">IFERROR(B17/B9,"н/п")</f>
        <v>-11.533121047035</v>
      </c>
      <c r="C18" s="52" t="n">
        <f aca="false">IFERROR(C17/C9,"н/п")</f>
        <v>-3.47744241447572</v>
      </c>
      <c r="D18" s="52" t="n">
        <f aca="false">IFERROR(D17/D9,"н/п")</f>
        <v>0.80942701656725</v>
      </c>
      <c r="E18" s="52" t="n">
        <f aca="false">IFERROR(E17/E9,"н/п")</f>
        <v>0.824815948434511</v>
      </c>
      <c r="F18" s="52" t="n">
        <f aca="false">IFERROR(F17/F9,"н/п")</f>
        <v>0.835029871602244</v>
      </c>
      <c r="G18" s="52" t="n">
        <f aca="false">IFERROR(G17/G9,"н/п")</f>
        <v>0.839690862402604</v>
      </c>
      <c r="H18" s="52" t="n">
        <f aca="false">IFERROR(H17/H9,"н/п")</f>
        <v>0.854065963451537</v>
      </c>
      <c r="I18" s="52" t="n">
        <f aca="false">IFERROR(I17/I9,"н/п")</f>
        <v>0.907908494833871</v>
      </c>
      <c r="J18" s="52" t="n">
        <f aca="false">IFERROR(J17/J9,"н/п")</f>
        <v>0.875766450771406</v>
      </c>
      <c r="K18" s="52" t="n">
        <f aca="false">IFERROR(K17/K9,"н/п")</f>
        <v>0.888195992097695</v>
      </c>
      <c r="L18" s="52" t="n">
        <f aca="false">IFERROR(L17/L9,"н/п")</f>
        <v>0.919551674526278</v>
      </c>
      <c r="M18" s="52" t="n">
        <f aca="false">IFERROR(M17/M9,"н/п")</f>
        <v>0.904766031655499</v>
      </c>
      <c r="N18" s="52" t="n">
        <f aca="false">IFERROR(N17/N9,"н/п")</f>
        <v>0.867033890059617</v>
      </c>
    </row>
    <row r="20" customFormat="false" ht="21.75" hidden="false" customHeight="true" outlineLevel="0" collapsed="false">
      <c r="A20" s="5" t="s">
        <v>328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20" t="s">
        <v>329</v>
      </c>
      <c r="B21" s="40" t="n">
        <f aca="false">Расходы!B17</f>
        <v>1690000</v>
      </c>
      <c r="C21" s="40" t="n">
        <f aca="false">Расходы!C17</f>
        <v>1690000</v>
      </c>
      <c r="D21" s="40" t="n">
        <f aca="false">Расходы!D17</f>
        <v>1690000</v>
      </c>
      <c r="E21" s="40" t="n">
        <f aca="false">Расходы!E17</f>
        <v>1859000</v>
      </c>
      <c r="F21" s="40" t="n">
        <f aca="false">Расходы!F17</f>
        <v>1859000</v>
      </c>
      <c r="G21" s="40" t="n">
        <f aca="false">Расходы!G17</f>
        <v>1859000</v>
      </c>
      <c r="H21" s="40" t="n">
        <f aca="false">Расходы!H17</f>
        <v>2002000</v>
      </c>
      <c r="I21" s="40" t="n">
        <f aca="false">Расходы!I17</f>
        <v>2002000</v>
      </c>
      <c r="J21" s="40" t="n">
        <f aca="false">Расходы!J17</f>
        <v>2002000</v>
      </c>
      <c r="K21" s="40" t="n">
        <f aca="false">Расходы!K17</f>
        <v>2002000</v>
      </c>
      <c r="L21" s="40" t="n">
        <f aca="false">Расходы!L17</f>
        <v>2002000</v>
      </c>
      <c r="M21" s="40" t="n">
        <f aca="false">Расходы!M17</f>
        <v>2002000</v>
      </c>
      <c r="N21" s="41" t="n">
        <f aca="false">SUM(B21:M21)</f>
        <v>22659000</v>
      </c>
    </row>
    <row r="22" customFormat="false" ht="15" hidden="false" customHeight="false" outlineLevel="0" collapsed="false">
      <c r="A22" s="20" t="s">
        <v>330</v>
      </c>
      <c r="B22" s="40" t="n">
        <f aca="false">Расходы!B33</f>
        <v>150000</v>
      </c>
      <c r="C22" s="40" t="n">
        <f aca="false">Расходы!C33</f>
        <v>150000</v>
      </c>
      <c r="D22" s="40" t="n">
        <f aca="false">Расходы!D33</f>
        <v>150000</v>
      </c>
      <c r="E22" s="40" t="n">
        <f aca="false">Расходы!E33</f>
        <v>391412.976791273</v>
      </c>
      <c r="F22" s="40" t="n">
        <f aca="false">Расходы!F33</f>
        <v>410785.509017097</v>
      </c>
      <c r="G22" s="40" t="n">
        <f aca="false">Расходы!G33</f>
        <v>428482.282107181</v>
      </c>
      <c r="H22" s="40" t="n">
        <f aca="false">Расходы!H33</f>
        <v>344660.683359553</v>
      </c>
      <c r="I22" s="40" t="n">
        <f aca="false">Расходы!I33</f>
        <v>359592.987557592</v>
      </c>
      <c r="J22" s="40" t="n">
        <f aca="false">Расходы!J33</f>
        <v>373291.242783675</v>
      </c>
      <c r="K22" s="40" t="n">
        <f aca="false">Расходы!K33</f>
        <v>335870.561125904</v>
      </c>
      <c r="L22" s="40" t="n">
        <f aca="false">Расходы!L33</f>
        <v>348247.831817057</v>
      </c>
      <c r="M22" s="40" t="n">
        <f aca="false">Расходы!M33</f>
        <v>359646.673606252</v>
      </c>
      <c r="N22" s="41" t="n">
        <f aca="false">SUM(B22:M22)</f>
        <v>3801990.74816558</v>
      </c>
    </row>
    <row r="23" customFormat="false" ht="15" hidden="false" customHeight="false" outlineLevel="0" collapsed="false">
      <c r="A23" s="20" t="s">
        <v>331</v>
      </c>
      <c r="B23" s="40" t="n">
        <f aca="false">Расходы!B38</f>
        <v>0</v>
      </c>
      <c r="C23" s="40" t="n">
        <f aca="false">Расходы!C38</f>
        <v>0</v>
      </c>
      <c r="D23" s="40" t="n">
        <f aca="false">Расходы!D38</f>
        <v>325000</v>
      </c>
      <c r="E23" s="40" t="n">
        <f aca="false">Расходы!E38</f>
        <v>125000</v>
      </c>
      <c r="F23" s="40" t="n">
        <f aca="false">Расходы!F38</f>
        <v>125000</v>
      </c>
      <c r="G23" s="40" t="n">
        <f aca="false">Расходы!G38</f>
        <v>325000</v>
      </c>
      <c r="H23" s="40" t="n">
        <f aca="false">Расходы!H38</f>
        <v>125000</v>
      </c>
      <c r="I23" s="40" t="n">
        <f aca="false">Расходы!I38</f>
        <v>250000</v>
      </c>
      <c r="J23" s="40" t="n">
        <f aca="false">Расходы!J38</f>
        <v>325000</v>
      </c>
      <c r="K23" s="40" t="n">
        <f aca="false">Расходы!K38</f>
        <v>125000</v>
      </c>
      <c r="L23" s="40" t="n">
        <f aca="false">Расходы!L38</f>
        <v>250000</v>
      </c>
      <c r="M23" s="40" t="n">
        <f aca="false">Расходы!M38</f>
        <v>325000</v>
      </c>
      <c r="N23" s="41" t="n">
        <f aca="false">SUM(B23:M23)</f>
        <v>2300000</v>
      </c>
    </row>
    <row r="24" customFormat="false" ht="15" hidden="false" customHeight="false" outlineLevel="0" collapsed="false">
      <c r="A24" s="20" t="s">
        <v>332</v>
      </c>
      <c r="B24" s="40" t="n">
        <f aca="false">Расходы!B44-Расходы!B43</f>
        <v>95000</v>
      </c>
      <c r="C24" s="40" t="n">
        <f aca="false">Расходы!C44-Расходы!C43</f>
        <v>95000</v>
      </c>
      <c r="D24" s="40" t="n">
        <f aca="false">Расходы!D44-Расходы!D43</f>
        <v>95000</v>
      </c>
      <c r="E24" s="40" t="n">
        <f aca="false">Расходы!E44-Расходы!E43</f>
        <v>95000</v>
      </c>
      <c r="F24" s="40" t="n">
        <f aca="false">Расходы!F44-Расходы!F43</f>
        <v>95000</v>
      </c>
      <c r="G24" s="40" t="n">
        <f aca="false">Расходы!G44-Расходы!G43</f>
        <v>95000</v>
      </c>
      <c r="H24" s="40" t="n">
        <f aca="false">Расходы!H44-Расходы!H43</f>
        <v>95000</v>
      </c>
      <c r="I24" s="40" t="n">
        <f aca="false">Расходы!I44-Расходы!I43</f>
        <v>95000</v>
      </c>
      <c r="J24" s="40" t="n">
        <f aca="false">Расходы!J44-Расходы!J43</f>
        <v>95000</v>
      </c>
      <c r="K24" s="40" t="n">
        <f aca="false">Расходы!K44-Расходы!K43</f>
        <v>95000</v>
      </c>
      <c r="L24" s="40" t="n">
        <f aca="false">Расходы!L44-Расходы!L43</f>
        <v>95000</v>
      </c>
      <c r="M24" s="40" t="n">
        <f aca="false">Расходы!M44-Расходы!M43</f>
        <v>95000</v>
      </c>
      <c r="N24" s="41" t="n">
        <f aca="false">SUM(B24:M24)</f>
        <v>1140000</v>
      </c>
    </row>
    <row r="25" customFormat="false" ht="15" hidden="false" customHeight="false" outlineLevel="0" collapsed="false">
      <c r="A25" s="7" t="s">
        <v>333</v>
      </c>
      <c r="B25" s="25" t="n">
        <f aca="false">SUM(B21:B24)</f>
        <v>1935000</v>
      </c>
      <c r="C25" s="25" t="n">
        <f aca="false">SUM(C21:C24)</f>
        <v>1935000</v>
      </c>
      <c r="D25" s="25" t="n">
        <f aca="false">SUM(D21:D24)</f>
        <v>2260000</v>
      </c>
      <c r="E25" s="25" t="n">
        <f aca="false">SUM(E21:E24)</f>
        <v>2470412.97679127</v>
      </c>
      <c r="F25" s="25" t="n">
        <f aca="false">SUM(F21:F24)</f>
        <v>2489785.5090171</v>
      </c>
      <c r="G25" s="25" t="n">
        <f aca="false">SUM(G21:G24)</f>
        <v>2707482.28210718</v>
      </c>
      <c r="H25" s="25" t="n">
        <f aca="false">SUM(H21:H24)</f>
        <v>2566660.68335955</v>
      </c>
      <c r="I25" s="25" t="n">
        <f aca="false">SUM(I21:I24)</f>
        <v>2706592.98755759</v>
      </c>
      <c r="J25" s="25" t="n">
        <f aca="false">SUM(J21:J24)</f>
        <v>2795291.24278368</v>
      </c>
      <c r="K25" s="25" t="n">
        <f aca="false">SUM(K21:K24)</f>
        <v>2557870.5611259</v>
      </c>
      <c r="L25" s="25" t="n">
        <f aca="false">SUM(L21:L24)</f>
        <v>2695247.83181706</v>
      </c>
      <c r="M25" s="25" t="n">
        <f aca="false">SUM(M21:M24)</f>
        <v>2781646.67360625</v>
      </c>
      <c r="N25" s="25" t="n">
        <f aca="false">SUM(B25:M25)</f>
        <v>29900990.7481656</v>
      </c>
    </row>
    <row r="27" customFormat="false" ht="15" hidden="false" customHeight="false" outlineLevel="0" collapsed="false">
      <c r="A27" s="19" t="s">
        <v>334</v>
      </c>
      <c r="B27" s="51" t="n">
        <f aca="false">B17-B25</f>
        <v>-1968543.86483151</v>
      </c>
      <c r="C27" s="51" t="n">
        <f aca="false">C17-C25</f>
        <v>-1963602.47358049</v>
      </c>
      <c r="D27" s="51" t="n">
        <f aca="false">D17-D25</f>
        <v>-2101743.67472424</v>
      </c>
      <c r="E27" s="51" t="n">
        <f aca="false">E17-E25</f>
        <v>-2290923.86833884</v>
      </c>
      <c r="F27" s="51" t="n">
        <f aca="false">F17-F25</f>
        <v>-2285426.93377835</v>
      </c>
      <c r="G27" s="51" t="n">
        <f aca="false">G17-G25</f>
        <v>-2475816.34494747</v>
      </c>
      <c r="H27" s="51" t="n">
        <f aca="false">H17-H25</f>
        <v>-2282042.51137464</v>
      </c>
      <c r="I27" s="51" t="n">
        <f aca="false">I17-I25</f>
        <v>-2184496.41520654</v>
      </c>
      <c r="J27" s="51" t="n">
        <f aca="false">J17-J25</f>
        <v>-2392094.26901308</v>
      </c>
      <c r="K27" s="51" t="n">
        <f aca="false">K17-K25</f>
        <v>-2062793.48543314</v>
      </c>
      <c r="L27" s="51" t="n">
        <f aca="false">L17-L25</f>
        <v>-1925278.57557241</v>
      </c>
      <c r="M27" s="51" t="n">
        <f aca="false">M17-M25</f>
        <v>-2094621.06796402</v>
      </c>
      <c r="N27" s="51" t="n">
        <f aca="false">SUM(B27:M27)</f>
        <v>-26027383.4847647</v>
      </c>
    </row>
    <row r="28" customFormat="false" ht="15" hidden="false" customHeight="false" outlineLevel="0" collapsed="false">
      <c r="A28" s="32" t="s">
        <v>335</v>
      </c>
      <c r="B28" s="52" t="n">
        <f aca="false">IFERROR(B27/B9,"н/п")</f>
        <v>-676.828826777696</v>
      </c>
      <c r="C28" s="52" t="n">
        <f aca="false">IFERROR(C27/C9,"н/п")</f>
        <v>-238.731608564634</v>
      </c>
      <c r="D28" s="52" t="n">
        <f aca="false">IFERROR(D27/D9,"н/п")</f>
        <v>-10.7497005838902</v>
      </c>
      <c r="E28" s="52" t="n">
        <f aca="false">IFERROR(E27/E9,"н/п")</f>
        <v>-10.5276055998456</v>
      </c>
      <c r="F28" s="52" t="n">
        <f aca="false">IFERROR(F27/F9,"н/п")</f>
        <v>-9.33848631915584</v>
      </c>
      <c r="G28" s="52" t="n">
        <f aca="false">IFERROR(G27/G9,"н/п")</f>
        <v>-8.97378521558915</v>
      </c>
      <c r="H28" s="52" t="n">
        <f aca="false">IFERROR(H27/H9,"н/п")</f>
        <v>-6.84782290084368</v>
      </c>
      <c r="I28" s="52" t="n">
        <f aca="false">IFERROR(I27/I9,"н/п")</f>
        <v>-3.7987662768385</v>
      </c>
      <c r="J28" s="52" t="n">
        <f aca="false">IFERROR(J27/J9,"н/п")</f>
        <v>-5.19576297483858</v>
      </c>
      <c r="K28" s="52" t="n">
        <f aca="false">IFERROR(K27/K9,"н/п")</f>
        <v>-3.70076700425526</v>
      </c>
      <c r="L28" s="52" t="n">
        <f aca="false">IFERROR(L27/L9,"н/п")</f>
        <v>-2.2993036718529</v>
      </c>
      <c r="M28" s="52" t="n">
        <f aca="false">IFERROR(M27/M9,"н/п")</f>
        <v>-2.75847359388045</v>
      </c>
      <c r="N28" s="52" t="n">
        <f aca="false">IFERROR(N27/N9,"н/п")</f>
        <v>-5.82573865040116</v>
      </c>
    </row>
    <row r="29" customFormat="false" ht="15" hidden="false" customHeight="false" outlineLevel="0" collapsed="false">
      <c r="A29" s="14" t="s">
        <v>336</v>
      </c>
      <c r="B29" s="25" t="n">
        <f aca="false">SUM($B$27:B27)</f>
        <v>-1968543.86483151</v>
      </c>
      <c r="C29" s="25" t="n">
        <f aca="false">SUM($B$27:C27)</f>
        <v>-3932146.338412</v>
      </c>
      <c r="D29" s="25" t="n">
        <f aca="false">SUM($B$27:D27)</f>
        <v>-6033890.01313624</v>
      </c>
      <c r="E29" s="25" t="n">
        <f aca="false">SUM($B$27:E27)</f>
        <v>-8324813.88147508</v>
      </c>
      <c r="F29" s="25" t="n">
        <f aca="false">SUM($B$27:F27)</f>
        <v>-10610240.8152534</v>
      </c>
      <c r="G29" s="25" t="n">
        <f aca="false">SUM($B$27:G27)</f>
        <v>-13086057.1602009</v>
      </c>
      <c r="H29" s="25" t="n">
        <f aca="false">SUM($B$27:H27)</f>
        <v>-15368099.6715755</v>
      </c>
      <c r="I29" s="25" t="n">
        <f aca="false">SUM($B$27:I27)</f>
        <v>-17552596.0867821</v>
      </c>
      <c r="J29" s="25" t="n">
        <f aca="false">SUM($B$27:J27)</f>
        <v>-19944690.3557952</v>
      </c>
      <c r="K29" s="25" t="n">
        <f aca="false">SUM($B$27:K27)</f>
        <v>-22007483.8412283</v>
      </c>
      <c r="L29" s="25" t="n">
        <f aca="false">SUM($B$27:L27)</f>
        <v>-23932762.4168007</v>
      </c>
      <c r="M29" s="25" t="n">
        <f aca="false">SUM($B$27:M27)</f>
        <v>-26027383.4847647</v>
      </c>
    </row>
    <row r="31" customFormat="false" ht="15" hidden="false" customHeight="false" outlineLevel="0" collapsed="false">
      <c r="A31" s="44" t="s">
        <v>337</v>
      </c>
      <c r="N31" s="53" t="str">
        <f aca="false">IFERROR("M"&amp;MATCH(TRUE(),INDEX(B27:M27&gt;0,0),0),"не достигается")</f>
        <v>не достигается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4"/>
  </cols>
  <sheetData>
    <row r="2" customFormat="false" ht="25.5" hidden="false" customHeight="true" outlineLevel="0" collapsed="false">
      <c r="A2" s="33" t="s">
        <v>338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.75" hidden="false" customHeight="true" outlineLevel="0" collapsed="false">
      <c r="B4" s="34" t="s">
        <v>213</v>
      </c>
      <c r="C4" s="34" t="s">
        <v>213</v>
      </c>
      <c r="D4" s="34" t="s">
        <v>213</v>
      </c>
      <c r="E4" s="35" t="s">
        <v>214</v>
      </c>
      <c r="F4" s="35" t="s">
        <v>214</v>
      </c>
      <c r="G4" s="35" t="s">
        <v>214</v>
      </c>
      <c r="H4" s="36" t="s">
        <v>215</v>
      </c>
      <c r="I4" s="36" t="s">
        <v>215</v>
      </c>
      <c r="J4" s="36" t="s">
        <v>215</v>
      </c>
      <c r="K4" s="37" t="s">
        <v>216</v>
      </c>
      <c r="L4" s="37" t="s">
        <v>216</v>
      </c>
      <c r="M4" s="37" t="s">
        <v>216</v>
      </c>
    </row>
    <row r="5" customFormat="false" ht="31.5" hidden="false" customHeight="true" outlineLevel="0" collapsed="false">
      <c r="B5" s="38" t="s">
        <v>217</v>
      </c>
      <c r="C5" s="38" t="s">
        <v>218</v>
      </c>
      <c r="D5" s="38" t="s">
        <v>219</v>
      </c>
      <c r="E5" s="38" t="s">
        <v>220</v>
      </c>
      <c r="F5" s="38" t="s">
        <v>221</v>
      </c>
      <c r="G5" s="38" t="s">
        <v>222</v>
      </c>
      <c r="H5" s="38" t="s">
        <v>223</v>
      </c>
      <c r="I5" s="38" t="s">
        <v>224</v>
      </c>
      <c r="J5" s="38" t="s">
        <v>225</v>
      </c>
      <c r="K5" s="38" t="s">
        <v>226</v>
      </c>
      <c r="L5" s="38" t="s">
        <v>227</v>
      </c>
      <c r="M5" s="38" t="s">
        <v>228</v>
      </c>
      <c r="N5" s="39" t="s">
        <v>229</v>
      </c>
    </row>
    <row r="6" customFormat="false" ht="15" hidden="false" customHeight="false" outlineLevel="0" collapsed="false">
      <c r="A6" s="14" t="s">
        <v>339</v>
      </c>
      <c r="B6" s="25" t="n">
        <f aca="false">0</f>
        <v>0</v>
      </c>
      <c r="C6" s="25" t="n">
        <f aca="false">B20</f>
        <v>10038637.8462442</v>
      </c>
      <c r="D6" s="25" t="n">
        <f aca="false">C20</f>
        <v>8088737.98348935</v>
      </c>
      <c r="E6" s="25" t="n">
        <f aca="false">D20</f>
        <v>6006623.08914753</v>
      </c>
      <c r="F6" s="25" t="n">
        <f aca="false">E20</f>
        <v>3773321.03403616</v>
      </c>
      <c r="G6" s="25" t="n">
        <f aca="false">F20</f>
        <v>1562291.62483845</v>
      </c>
      <c r="H6" s="25" t="n">
        <f aca="false">G20</f>
        <v>-823790.829503698</v>
      </c>
      <c r="I6" s="25" t="n">
        <f aca="false">H20</f>
        <v>-2949999.81832838</v>
      </c>
      <c r="J6" s="25" t="n">
        <f aca="false">I20</f>
        <v>-4959184.75521204</v>
      </c>
      <c r="K6" s="25" t="n">
        <f aca="false">J20</f>
        <v>-7158080.63970292</v>
      </c>
      <c r="L6" s="25" t="n">
        <f aca="false">K20</f>
        <v>-8939810.13424516</v>
      </c>
      <c r="M6" s="25" t="n">
        <f aca="false">L20</f>
        <v>-10562413.5835358</v>
      </c>
    </row>
    <row r="8" customFormat="false" ht="21.75" hidden="false" customHeight="true" outlineLevel="0" collapsed="false">
      <c r="A8" s="5" t="s">
        <v>340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20" t="s">
        <v>341</v>
      </c>
      <c r="B9" s="40" t="n">
        <f aca="false">Доходы!B18</f>
        <v>2908.481121</v>
      </c>
      <c r="C9" s="40" t="n">
        <f aca="false">Доходы!C18</f>
        <v>8225.14657940182</v>
      </c>
      <c r="D9" s="40" t="n">
        <f aca="false">Доходы!D18</f>
        <v>15516.485163687</v>
      </c>
      <c r="E9" s="40" t="n">
        <f aca="false">Доходы!E18</f>
        <v>37611.1031716869</v>
      </c>
      <c r="F9" s="40" t="n">
        <f aca="false">Доходы!F18</f>
        <v>64732.0535331619</v>
      </c>
      <c r="G9" s="40" t="n">
        <f aca="false">Доходы!G18</f>
        <v>95894.3172215125</v>
      </c>
      <c r="H9" s="40" t="n">
        <f aca="false">Доходы!H18</f>
        <v>153250.80750752</v>
      </c>
      <c r="I9" s="40" t="n">
        <f aca="false">Доходы!I18</f>
        <v>215054.177069449</v>
      </c>
      <c r="J9" s="40" t="n">
        <f aca="false">Доходы!J18</f>
        <v>280393.262856144</v>
      </c>
      <c r="K9" s="40" t="n">
        <f aca="false">Доходы!K18</f>
        <v>377396.20545181</v>
      </c>
      <c r="L9" s="40" t="n">
        <f aca="false">Доходы!L18</f>
        <v>477331.144703002</v>
      </c>
      <c r="M9" s="40" t="n">
        <f aca="false">Доходы!M18</f>
        <v>579340.626863656</v>
      </c>
      <c r="N9" s="41" t="n">
        <f aca="false">SUM(B9:M9)</f>
        <v>2307653.81124203</v>
      </c>
    </row>
    <row r="10" customFormat="false" ht="15" hidden="false" customHeight="false" outlineLevel="0" collapsed="false">
      <c r="A10" s="20" t="s">
        <v>342</v>
      </c>
      <c r="B10" s="40" t="n">
        <f aca="false">Доходы!B19</f>
        <v>7181.7110757</v>
      </c>
      <c r="C10" s="40" t="n">
        <f aca="false">Доходы!C19</f>
        <v>13702.6108256482</v>
      </c>
      <c r="D10" s="40" t="n">
        <f aca="false">Доходы!D19</f>
        <v>19628.7803824197</v>
      </c>
      <c r="E10" s="40" t="n">
        <f aca="false">Доходы!E19</f>
        <v>57621.8132274728</v>
      </c>
      <c r="F10" s="40" t="n">
        <f aca="false">Доходы!F19</f>
        <v>74397.5245806338</v>
      </c>
      <c r="G10" s="40" t="n">
        <f aca="false">Доходы!G19</f>
        <v>89733.8906053241</v>
      </c>
      <c r="H10" s="40" t="n">
        <f aca="false">Доходы!H19</f>
        <v>155833.522549959</v>
      </c>
      <c r="I10" s="40" t="n">
        <f aca="false">Доходы!I19</f>
        <v>175311.478322877</v>
      </c>
      <c r="J10" s="40" t="n">
        <f aca="false">Доходы!J19</f>
        <v>193198.384522207</v>
      </c>
      <c r="K10" s="40" t="n">
        <f aca="false">Доходы!K19</f>
        <v>281063.990890907</v>
      </c>
      <c r="L10" s="40" t="n">
        <f aca="false">Доходы!L19</f>
        <v>302675.126281804</v>
      </c>
      <c r="M10" s="40" t="n">
        <f aca="false">Доходы!M19</f>
        <v>322603.397081152</v>
      </c>
      <c r="N10" s="41" t="n">
        <f aca="false">SUM(B10:M10)</f>
        <v>1692952.2303461</v>
      </c>
    </row>
    <row r="11" customFormat="false" ht="15" hidden="false" customHeight="false" outlineLevel="0" collapsed="false">
      <c r="A11" s="20" t="s">
        <v>319</v>
      </c>
      <c r="B11" s="40" t="n">
        <f aca="false">Доходы!B23</f>
        <v>0</v>
      </c>
      <c r="C11" s="40" t="n">
        <f aca="false">Доходы!C23</f>
        <v>0</v>
      </c>
      <c r="D11" s="40" t="n">
        <f aca="false">Доходы!D23</f>
        <v>180000</v>
      </c>
      <c r="E11" s="40" t="n">
        <f aca="false">Доходы!E23</f>
        <v>180000</v>
      </c>
      <c r="F11" s="40" t="n">
        <f aca="false">Доходы!F23</f>
        <v>180000</v>
      </c>
      <c r="G11" s="40" t="n">
        <f aca="false">Доходы!G23</f>
        <v>180000</v>
      </c>
      <c r="H11" s="40" t="n">
        <f aca="false">Доходы!H23</f>
        <v>180000</v>
      </c>
      <c r="I11" s="40" t="n">
        <f aca="false">Доходы!I23</f>
        <v>360000</v>
      </c>
      <c r="J11" s="40" t="n">
        <f aca="false">Доходы!J23</f>
        <v>180000</v>
      </c>
      <c r="K11" s="40" t="n">
        <f aca="false">Доходы!K23</f>
        <v>180000</v>
      </c>
      <c r="L11" s="40" t="n">
        <f aca="false">Доходы!L23</f>
        <v>360000</v>
      </c>
      <c r="M11" s="40" t="n">
        <f aca="false">Доходы!M23</f>
        <v>180000</v>
      </c>
      <c r="N11" s="41" t="n">
        <f aca="false">SUM(B11:M11)</f>
        <v>2160000</v>
      </c>
    </row>
    <row r="12" customFormat="false" ht="15" hidden="false" customHeight="false" outlineLevel="0" collapsed="false">
      <c r="A12" s="20" t="s">
        <v>343</v>
      </c>
      <c r="B12" s="40" t="n">
        <f aca="false">Допущения!$C$95</f>
        <v>12000000</v>
      </c>
      <c r="C12" s="50" t="n">
        <v>0</v>
      </c>
      <c r="D12" s="50" t="n">
        <v>0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50" t="n">
        <v>0</v>
      </c>
      <c r="L12" s="50" t="n">
        <v>0</v>
      </c>
      <c r="M12" s="50" t="n">
        <v>0</v>
      </c>
      <c r="N12" s="41" t="n">
        <f aca="false">SUM(B12:M12)</f>
        <v>12000000</v>
      </c>
    </row>
    <row r="13" customFormat="false" ht="15" hidden="false" customHeight="false" outlineLevel="0" collapsed="false">
      <c r="A13" s="7" t="s">
        <v>344</v>
      </c>
      <c r="B13" s="43" t="n">
        <f aca="false">SUM(B9:B12)</f>
        <v>12010090.1921967</v>
      </c>
      <c r="C13" s="43" t="n">
        <f aca="false">SUM(C9:C12)</f>
        <v>21927.75740505</v>
      </c>
      <c r="D13" s="43" t="n">
        <f aca="false">SUM(D9:D12)</f>
        <v>215145.265546107</v>
      </c>
      <c r="E13" s="43" t="n">
        <f aca="false">SUM(E9:E12)</f>
        <v>275232.91639916</v>
      </c>
      <c r="F13" s="43" t="n">
        <f aca="false">SUM(F9:F12)</f>
        <v>319129.578113796</v>
      </c>
      <c r="G13" s="43" t="n">
        <f aca="false">SUM(G9:G12)</f>
        <v>365628.207826837</v>
      </c>
      <c r="H13" s="43" t="n">
        <f aca="false">SUM(H9:H12)</f>
        <v>489084.330057478</v>
      </c>
      <c r="I13" s="43" t="n">
        <f aca="false">SUM(I9:I12)</f>
        <v>750365.655392326</v>
      </c>
      <c r="J13" s="43" t="n">
        <f aca="false">SUM(J9:J12)</f>
        <v>653591.647378351</v>
      </c>
      <c r="K13" s="43" t="n">
        <f aca="false">SUM(K9:K12)</f>
        <v>838460.196342717</v>
      </c>
      <c r="L13" s="43" t="n">
        <f aca="false">SUM(L9:L12)</f>
        <v>1140006.27098481</v>
      </c>
      <c r="M13" s="43" t="n">
        <f aca="false">SUM(M9:M12)</f>
        <v>1081944.02394481</v>
      </c>
      <c r="N13" s="43" t="n">
        <f aca="false">SUM(B13:M13)</f>
        <v>18160606.0415881</v>
      </c>
    </row>
    <row r="15" customFormat="false" ht="21.75" hidden="false" customHeight="true" outlineLevel="0" collapsed="false">
      <c r="A15" s="5" t="s">
        <v>345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20" t="s">
        <v>346</v>
      </c>
      <c r="B16" s="40" t="n">
        <f aca="false">Расходы!B47</f>
        <v>1971452.34595251</v>
      </c>
      <c r="C16" s="40" t="n">
        <f aca="false">Расходы!C47</f>
        <v>1971827.62015989</v>
      </c>
      <c r="D16" s="40" t="n">
        <f aca="false">Расходы!D47</f>
        <v>2297260.15988793</v>
      </c>
      <c r="E16" s="40" t="n">
        <f aca="false">Расходы!E47</f>
        <v>2508534.97151052</v>
      </c>
      <c r="F16" s="40" t="n">
        <f aca="false">Расходы!F47</f>
        <v>2530158.98731151</v>
      </c>
      <c r="G16" s="40" t="n">
        <f aca="false">Расходы!G47</f>
        <v>2751710.66216898</v>
      </c>
      <c r="H16" s="40" t="n">
        <f aca="false">Расходы!H47</f>
        <v>2615293.31888216</v>
      </c>
      <c r="I16" s="40" t="n">
        <f aca="false">Расходы!I47</f>
        <v>2759550.59227599</v>
      </c>
      <c r="J16" s="40" t="n">
        <f aca="false">Расходы!J47</f>
        <v>2852487.53186923</v>
      </c>
      <c r="K16" s="40" t="n">
        <f aca="false">Расходы!K47</f>
        <v>2620189.69088495</v>
      </c>
      <c r="L16" s="40" t="n">
        <f aca="false">Расходы!L47</f>
        <v>2762609.72027541</v>
      </c>
      <c r="M16" s="40" t="n">
        <f aca="false">Расходы!M47</f>
        <v>2853961.69482768</v>
      </c>
      <c r="N16" s="41" t="n">
        <f aca="false">SUM(B16:M16)</f>
        <v>30495037.2960068</v>
      </c>
    </row>
    <row r="17" customFormat="false" ht="15" hidden="false" customHeight="false" outlineLevel="0" collapsed="false">
      <c r="A17" s="7" t="s">
        <v>347</v>
      </c>
      <c r="B17" s="43" t="n">
        <f aca="false">B16</f>
        <v>1971452.34595251</v>
      </c>
      <c r="C17" s="43" t="n">
        <f aca="false">C16</f>
        <v>1971827.62015989</v>
      </c>
      <c r="D17" s="43" t="n">
        <f aca="false">D16</f>
        <v>2297260.15988793</v>
      </c>
      <c r="E17" s="43" t="n">
        <f aca="false">E16</f>
        <v>2508534.97151052</v>
      </c>
      <c r="F17" s="43" t="n">
        <f aca="false">F16</f>
        <v>2530158.98731151</v>
      </c>
      <c r="G17" s="43" t="n">
        <f aca="false">G16</f>
        <v>2751710.66216898</v>
      </c>
      <c r="H17" s="43" t="n">
        <f aca="false">H16</f>
        <v>2615293.31888216</v>
      </c>
      <c r="I17" s="43" t="n">
        <f aca="false">I16</f>
        <v>2759550.59227599</v>
      </c>
      <c r="J17" s="43" t="n">
        <f aca="false">J16</f>
        <v>2852487.53186923</v>
      </c>
      <c r="K17" s="43" t="n">
        <f aca="false">K16</f>
        <v>2620189.69088495</v>
      </c>
      <c r="L17" s="43" t="n">
        <f aca="false">L16</f>
        <v>2762609.72027541</v>
      </c>
      <c r="M17" s="43" t="n">
        <f aca="false">M16</f>
        <v>2853961.69482768</v>
      </c>
      <c r="N17" s="43" t="n">
        <f aca="false">SUM(B17:M17)</f>
        <v>30495037.2960068</v>
      </c>
    </row>
    <row r="19" customFormat="false" ht="15" hidden="false" customHeight="false" outlineLevel="0" collapsed="false">
      <c r="A19" s="46" t="s">
        <v>348</v>
      </c>
      <c r="B19" s="25" t="n">
        <f aca="false">B13-B17</f>
        <v>10038637.8462442</v>
      </c>
      <c r="C19" s="25" t="n">
        <f aca="false">C13-C17</f>
        <v>-1949899.86275484</v>
      </c>
      <c r="D19" s="25" t="n">
        <f aca="false">D13-D17</f>
        <v>-2082114.89434182</v>
      </c>
      <c r="E19" s="25" t="n">
        <f aca="false">E13-E17</f>
        <v>-2233302.05511136</v>
      </c>
      <c r="F19" s="25" t="n">
        <f aca="false">F13-F17</f>
        <v>-2211029.40919771</v>
      </c>
      <c r="G19" s="25" t="n">
        <f aca="false">G13-G17</f>
        <v>-2386082.45434215</v>
      </c>
      <c r="H19" s="25" t="n">
        <f aca="false">H13-H17</f>
        <v>-2126208.98882468</v>
      </c>
      <c r="I19" s="25" t="n">
        <f aca="false">I13-I17</f>
        <v>-2009184.93688366</v>
      </c>
      <c r="J19" s="25" t="n">
        <f aca="false">J13-J17</f>
        <v>-2198895.88449088</v>
      </c>
      <c r="K19" s="25" t="n">
        <f aca="false">K13-K17</f>
        <v>-1781729.49454224</v>
      </c>
      <c r="L19" s="25" t="n">
        <f aca="false">L13-L17</f>
        <v>-1622603.4492906</v>
      </c>
      <c r="M19" s="25" t="n">
        <f aca="false">M13-M17</f>
        <v>-1772017.67088287</v>
      </c>
      <c r="N19" s="25" t="n">
        <f aca="false">SUM(B19:M19)</f>
        <v>-12334431.2544186</v>
      </c>
    </row>
    <row r="20" customFormat="false" ht="15" hidden="false" customHeight="false" outlineLevel="0" collapsed="false">
      <c r="A20" s="19" t="s">
        <v>349</v>
      </c>
      <c r="B20" s="51" t="n">
        <f aca="false">B6+B19</f>
        <v>10038637.8462442</v>
      </c>
      <c r="C20" s="51" t="n">
        <f aca="false">C6+C19</f>
        <v>8088737.98348935</v>
      </c>
      <c r="D20" s="51" t="n">
        <f aca="false">D6+D19</f>
        <v>6006623.08914753</v>
      </c>
      <c r="E20" s="51" t="n">
        <f aca="false">E6+E19</f>
        <v>3773321.03403616</v>
      </c>
      <c r="F20" s="51" t="n">
        <f aca="false">F6+F19</f>
        <v>1562291.62483845</v>
      </c>
      <c r="G20" s="51" t="n">
        <f aca="false">G6+G19</f>
        <v>-823790.829503698</v>
      </c>
      <c r="H20" s="51" t="n">
        <f aca="false">H6+H19</f>
        <v>-2949999.81832838</v>
      </c>
      <c r="I20" s="51" t="n">
        <f aca="false">I6+I19</f>
        <v>-4959184.75521204</v>
      </c>
      <c r="J20" s="51" t="n">
        <f aca="false">J6+J19</f>
        <v>-7158080.63970292</v>
      </c>
      <c r="K20" s="51" t="n">
        <f aca="false">K6+K19</f>
        <v>-8939810.13424516</v>
      </c>
      <c r="L20" s="51" t="n">
        <f aca="false">L6+L19</f>
        <v>-10562413.5835358</v>
      </c>
      <c r="M20" s="51" t="n">
        <f aca="false">M6+M19</f>
        <v>-12334431.2544186</v>
      </c>
    </row>
    <row r="22" customFormat="false" ht="15" hidden="false" customHeight="false" outlineLevel="0" collapsed="false">
      <c r="A22" s="44" t="s">
        <v>350</v>
      </c>
      <c r="N22" s="53" t="str">
        <f aca="false">IFERROR("M"&amp;MATCH(TRUE(),INDEX(B20:M20&lt;0,0),0),"средств хватает на 12 мес")</f>
        <v>M6</v>
      </c>
    </row>
    <row r="23" customFormat="false" ht="15" hidden="false" customHeight="false" outlineLevel="0" collapsed="false">
      <c r="A23" s="44" t="s">
        <v>351</v>
      </c>
      <c r="N23" s="25" t="n">
        <f aca="false">MIN(B20:M20)</f>
        <v>-12334431.2544186</v>
      </c>
    </row>
    <row r="24" customFormat="false" ht="15" hidden="false" customHeight="false" outlineLevel="0" collapsed="false">
      <c r="A24" s="44" t="s">
        <v>352</v>
      </c>
      <c r="N24" s="54" t="n">
        <f aca="false">MAX(0,-MIN(B20:M20))</f>
        <v>12334431.2544186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  <col collapsed="false" customWidth="true" hidden="false" outlineLevel="0" max="14" min="14" style="0" width="14"/>
  </cols>
  <sheetData>
    <row r="2" customFormat="false" ht="25.5" hidden="false" customHeight="true" outlineLevel="0" collapsed="false">
      <c r="A2" s="33" t="s">
        <v>353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.75" hidden="false" customHeight="true" outlineLevel="0" collapsed="false">
      <c r="B4" s="34" t="s">
        <v>213</v>
      </c>
      <c r="C4" s="34" t="s">
        <v>213</v>
      </c>
      <c r="D4" s="34" t="s">
        <v>213</v>
      </c>
      <c r="E4" s="35" t="s">
        <v>214</v>
      </c>
      <c r="F4" s="35" t="s">
        <v>214</v>
      </c>
      <c r="G4" s="35" t="s">
        <v>214</v>
      </c>
      <c r="H4" s="36" t="s">
        <v>215</v>
      </c>
      <c r="I4" s="36" t="s">
        <v>215</v>
      </c>
      <c r="J4" s="36" t="s">
        <v>215</v>
      </c>
      <c r="K4" s="37" t="s">
        <v>216</v>
      </c>
      <c r="L4" s="37" t="s">
        <v>216</v>
      </c>
      <c r="M4" s="37" t="s">
        <v>216</v>
      </c>
    </row>
    <row r="5" customFormat="false" ht="31.5" hidden="false" customHeight="true" outlineLevel="0" collapsed="false">
      <c r="B5" s="38" t="s">
        <v>217</v>
      </c>
      <c r="C5" s="38" t="s">
        <v>218</v>
      </c>
      <c r="D5" s="38" t="s">
        <v>219</v>
      </c>
      <c r="E5" s="38" t="s">
        <v>220</v>
      </c>
      <c r="F5" s="38" t="s">
        <v>221</v>
      </c>
      <c r="G5" s="38" t="s">
        <v>222</v>
      </c>
      <c r="H5" s="38" t="s">
        <v>223</v>
      </c>
      <c r="I5" s="38" t="s">
        <v>224</v>
      </c>
      <c r="J5" s="38" t="s">
        <v>225</v>
      </c>
      <c r="K5" s="38" t="s">
        <v>226</v>
      </c>
      <c r="L5" s="38" t="s">
        <v>227</v>
      </c>
      <c r="M5" s="38" t="s">
        <v>228</v>
      </c>
      <c r="N5" s="39" t="s">
        <v>229</v>
      </c>
    </row>
    <row r="6" customFormat="false" ht="21.75" hidden="false" customHeight="true" outlineLevel="0" collapsed="false">
      <c r="A6" s="5" t="s">
        <v>354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20" t="s">
        <v>355</v>
      </c>
      <c r="B7" s="40" t="n">
        <f aca="false">Допущения!$C$34</f>
        <v>150</v>
      </c>
      <c r="C7" s="40" t="n">
        <f aca="false">Допущения!$C$34</f>
        <v>150</v>
      </c>
      <c r="D7" s="40" t="n">
        <f aca="false">Допущения!$C$34</f>
        <v>150</v>
      </c>
      <c r="E7" s="40" t="n">
        <f aca="false">Допущения!$C$34</f>
        <v>150</v>
      </c>
      <c r="F7" s="40" t="n">
        <f aca="false">Допущения!$C$34</f>
        <v>150</v>
      </c>
      <c r="G7" s="40" t="n">
        <f aca="false">Допущения!$C$34</f>
        <v>150</v>
      </c>
      <c r="H7" s="40" t="n">
        <f aca="false">Допущения!$C$34</f>
        <v>150</v>
      </c>
      <c r="I7" s="40" t="n">
        <f aca="false">Допущения!$C$34</f>
        <v>150</v>
      </c>
      <c r="J7" s="40" t="n">
        <f aca="false">Допущения!$C$34</f>
        <v>150</v>
      </c>
      <c r="K7" s="40" t="n">
        <f aca="false">Допущения!$C$34</f>
        <v>150</v>
      </c>
      <c r="L7" s="40" t="n">
        <f aca="false">Допущения!$C$34</f>
        <v>150</v>
      </c>
      <c r="M7" s="40" t="n">
        <f aca="false">Допущения!$C$34</f>
        <v>150</v>
      </c>
    </row>
    <row r="8" customFormat="false" ht="15" hidden="false" customHeight="false" outlineLevel="0" collapsed="false">
      <c r="A8" s="55" t="s">
        <v>356</v>
      </c>
      <c r="B8" s="21" t="n">
        <v>150</v>
      </c>
      <c r="C8" s="21" t="n">
        <v>150</v>
      </c>
      <c r="D8" s="21" t="n">
        <v>150</v>
      </c>
      <c r="E8" s="21" t="n">
        <v>150</v>
      </c>
      <c r="F8" s="21" t="n">
        <v>150</v>
      </c>
      <c r="G8" s="21" t="n">
        <v>150</v>
      </c>
      <c r="H8" s="21" t="n">
        <v>150</v>
      </c>
      <c r="I8" s="21" t="n">
        <v>150</v>
      </c>
      <c r="J8" s="21" t="n">
        <v>150</v>
      </c>
      <c r="K8" s="21" t="n">
        <v>150</v>
      </c>
      <c r="L8" s="21" t="n">
        <v>150</v>
      </c>
      <c r="M8" s="21" t="n">
        <v>150</v>
      </c>
    </row>
    <row r="10" customFormat="false" ht="15" hidden="false" customHeight="false" outlineLevel="0" collapsed="false">
      <c r="A10" s="20" t="s">
        <v>357</v>
      </c>
      <c r="B10" s="40" t="n">
        <f aca="false">Расходы!B33</f>
        <v>150000</v>
      </c>
      <c r="C10" s="40" t="n">
        <f aca="false">Расходы!C33</f>
        <v>150000</v>
      </c>
      <c r="D10" s="40" t="n">
        <f aca="false">Расходы!D33</f>
        <v>150000</v>
      </c>
      <c r="E10" s="40" t="n">
        <f aca="false">Расходы!E33</f>
        <v>391412.976791273</v>
      </c>
      <c r="F10" s="40" t="n">
        <f aca="false">Расходы!F33</f>
        <v>410785.509017097</v>
      </c>
      <c r="G10" s="40" t="n">
        <f aca="false">Расходы!G33</f>
        <v>428482.282107181</v>
      </c>
      <c r="H10" s="40" t="n">
        <f aca="false">Расходы!H33</f>
        <v>344660.683359553</v>
      </c>
      <c r="I10" s="40" t="n">
        <f aca="false">Расходы!I33</f>
        <v>359592.987557592</v>
      </c>
      <c r="J10" s="40" t="n">
        <f aca="false">Расходы!J33</f>
        <v>373291.242783675</v>
      </c>
      <c r="K10" s="40" t="n">
        <f aca="false">Расходы!K33</f>
        <v>335870.561125904</v>
      </c>
      <c r="L10" s="40" t="n">
        <f aca="false">Расходы!L33</f>
        <v>348247.831817057</v>
      </c>
      <c r="M10" s="40" t="n">
        <f aca="false">Расходы!M33</f>
        <v>359646.673606252</v>
      </c>
    </row>
    <row r="11" customFormat="false" ht="15" hidden="false" customHeight="false" outlineLevel="0" collapsed="false">
      <c r="A11" s="20" t="s">
        <v>259</v>
      </c>
      <c r="B11" s="40" t="n">
        <f aca="false">Доходы!B9</f>
        <v>2.1307554</v>
      </c>
      <c r="C11" s="40" t="n">
        <f aca="false">Доходы!C9</f>
        <v>4.06545344181818</v>
      </c>
      <c r="D11" s="40" t="n">
        <f aca="false">Доходы!D9</f>
        <v>5.82369986127273</v>
      </c>
      <c r="E11" s="40" t="n">
        <f aca="false">Доходы!E9</f>
        <v>17.0959244110585</v>
      </c>
      <c r="F11" s="40" t="n">
        <f aca="false">Доходы!F9</f>
        <v>22.0731418426447</v>
      </c>
      <c r="G11" s="40" t="n">
        <f aca="false">Доходы!G9</f>
        <v>26.6233171948744</v>
      </c>
      <c r="H11" s="40" t="n">
        <f aca="false">Доходы!H9</f>
        <v>46.2345416258593</v>
      </c>
      <c r="I11" s="40" t="n">
        <f aca="false">Доходы!I9</f>
        <v>52.0134930493628</v>
      </c>
      <c r="J11" s="40" t="n">
        <f aca="false">Доходы!J9</f>
        <v>57.3203929749909</v>
      </c>
      <c r="K11" s="40" t="n">
        <f aca="false">Доходы!K9</f>
        <v>83.3894053970945</v>
      </c>
      <c r="L11" s="40" t="n">
        <f aca="false">Доходы!L9</f>
        <v>89.8012539035169</v>
      </c>
      <c r="M11" s="40" t="n">
        <f aca="false">Доходы!M9</f>
        <v>95.7138101412705</v>
      </c>
    </row>
    <row r="12" customFormat="false" ht="15" hidden="false" customHeight="false" outlineLevel="0" collapsed="false">
      <c r="A12" s="7" t="s">
        <v>358</v>
      </c>
      <c r="B12" s="43" t="n">
        <f aca="false">IFERROR(B10/B11,0)</f>
        <v>70397.5688621979</v>
      </c>
      <c r="C12" s="43" t="n">
        <f aca="false">IFERROR(C10/C11,0)</f>
        <v>36896.2533077038</v>
      </c>
      <c r="D12" s="43" t="n">
        <f aca="false">IFERROR(D10/D11,0)</f>
        <v>25756.8218783889</v>
      </c>
      <c r="E12" s="43" t="n">
        <f aca="false">IFERROR(E10/E11,0)</f>
        <v>22895.1045512395</v>
      </c>
      <c r="F12" s="43" t="n">
        <f aca="false">IFERROR(F10/F11,0)</f>
        <v>18610.1965884835</v>
      </c>
      <c r="G12" s="43" t="n">
        <f aca="false">IFERROR(G10/G11,0)</f>
        <v>16094.2484729016</v>
      </c>
      <c r="H12" s="43" t="n">
        <f aca="false">IFERROR(H10/H11,0)</f>
        <v>7454.61447738853</v>
      </c>
      <c r="I12" s="43" t="n">
        <f aca="false">IFERROR(I10/I11,0)</f>
        <v>6913.45584531931</v>
      </c>
      <c r="J12" s="43" t="n">
        <f aca="false">IFERROR(J10/J11,0)</f>
        <v>6512.36363551351</v>
      </c>
      <c r="K12" s="43" t="n">
        <f aca="false">IFERROR(K10/K11,0)</f>
        <v>4027.73661146176</v>
      </c>
      <c r="L12" s="43" t="n">
        <f aca="false">IFERROR(L10/L11,0)</f>
        <v>3877.9840668062</v>
      </c>
      <c r="M12" s="43" t="n">
        <f aca="false">IFERROR(M10/M11,0)</f>
        <v>3757.52122996071</v>
      </c>
    </row>
    <row r="13" customFormat="false" ht="15" hidden="false" customHeight="false" outlineLevel="0" collapsed="false">
      <c r="A13" s="55" t="s">
        <v>359</v>
      </c>
      <c r="B13" s="21" t="n">
        <v>1800</v>
      </c>
      <c r="C13" s="21" t="n">
        <v>1800</v>
      </c>
      <c r="D13" s="21" t="n">
        <v>1800</v>
      </c>
      <c r="E13" s="21" t="n">
        <v>1800</v>
      </c>
      <c r="F13" s="21" t="n">
        <v>1800</v>
      </c>
      <c r="G13" s="21" t="n">
        <v>1800</v>
      </c>
      <c r="H13" s="21" t="n">
        <v>1800</v>
      </c>
      <c r="I13" s="21" t="n">
        <v>1800</v>
      </c>
      <c r="J13" s="21" t="n">
        <v>1800</v>
      </c>
      <c r="K13" s="21" t="n">
        <v>1800</v>
      </c>
      <c r="L13" s="21" t="n">
        <v>1800</v>
      </c>
      <c r="M13" s="21" t="n">
        <v>1800</v>
      </c>
    </row>
    <row r="15" customFormat="false" ht="21.75" hidden="false" customHeight="true" outlineLevel="0" collapsed="false">
      <c r="A15" s="5" t="s">
        <v>360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20" t="s">
        <v>361</v>
      </c>
      <c r="B16" s="41" t="n">
        <f aca="false">Доходы!B14/IFERROR(Доходы!B12,1)</f>
        <v>1365</v>
      </c>
      <c r="C16" s="41" t="n">
        <f aca="false">Доходы!C14/IFERROR(Доходы!C12,1)</f>
        <v>1365</v>
      </c>
      <c r="D16" s="41" t="n">
        <f aca="false">Доходы!D14/IFERROR(Доходы!D12,1)</f>
        <v>1365</v>
      </c>
      <c r="E16" s="41" t="n">
        <f aca="false">Доходы!E14/IFERROR(Доходы!E12,1)</f>
        <v>1365</v>
      </c>
      <c r="F16" s="41" t="n">
        <f aca="false">Доходы!F14/IFERROR(Доходы!F12,1)</f>
        <v>1365</v>
      </c>
      <c r="G16" s="41" t="n">
        <f aca="false">Доходы!G14/IFERROR(Доходы!G12,1)</f>
        <v>1365</v>
      </c>
      <c r="H16" s="41" t="n">
        <f aca="false">Доходы!H14/IFERROR(Доходы!H12,1)</f>
        <v>1365</v>
      </c>
      <c r="I16" s="41" t="n">
        <f aca="false">Доходы!I14/IFERROR(Доходы!I12,1)</f>
        <v>1365</v>
      </c>
      <c r="J16" s="41" t="n">
        <f aca="false">Доходы!J14/IFERROR(Доходы!J12,1)</f>
        <v>1365</v>
      </c>
      <c r="K16" s="41" t="n">
        <f aca="false">Доходы!K14/IFERROR(Доходы!K12,1)</f>
        <v>1365</v>
      </c>
      <c r="L16" s="41" t="n">
        <f aca="false">Доходы!L14/IFERROR(Доходы!L12,1)</f>
        <v>1365</v>
      </c>
      <c r="M16" s="41" t="n">
        <f aca="false">Доходы!M14/IFERROR(Доходы!M12,1)</f>
        <v>1365</v>
      </c>
    </row>
    <row r="17" customFormat="false" ht="15" hidden="false" customHeight="false" outlineLevel="0" collapsed="false">
      <c r="A17" s="20" t="s">
        <v>362</v>
      </c>
      <c r="B17" s="56" t="n">
        <f aca="false">1/Допущения!$C$63</f>
        <v>12.5</v>
      </c>
      <c r="C17" s="56" t="n">
        <f aca="false">1/Допущения!$C$63</f>
        <v>12.5</v>
      </c>
      <c r="D17" s="56" t="n">
        <f aca="false">1/Допущения!$C$63</f>
        <v>12.5</v>
      </c>
      <c r="E17" s="56" t="n">
        <f aca="false">1/Допущения!$C$63</f>
        <v>12.5</v>
      </c>
      <c r="F17" s="56" t="n">
        <f aca="false">1/Допущения!$C$63</f>
        <v>12.5</v>
      </c>
      <c r="G17" s="56" t="n">
        <f aca="false">1/Допущения!$C$63</f>
        <v>12.5</v>
      </c>
      <c r="H17" s="56" t="n">
        <f aca="false">1/Допущения!$C$64</f>
        <v>16.6666666666667</v>
      </c>
      <c r="I17" s="56" t="n">
        <f aca="false">1/Допущения!$C$64</f>
        <v>16.6666666666667</v>
      </c>
      <c r="J17" s="56" t="n">
        <f aca="false">1/Допущения!$C$64</f>
        <v>16.6666666666667</v>
      </c>
      <c r="K17" s="56" t="n">
        <f aca="false">1/Допущения!$C$64</f>
        <v>16.6666666666667</v>
      </c>
      <c r="L17" s="56" t="n">
        <f aca="false">1/Допущения!$C$64</f>
        <v>16.6666666666667</v>
      </c>
      <c r="M17" s="56" t="n">
        <f aca="false">1/Допущения!$C$64</f>
        <v>16.6666666666667</v>
      </c>
    </row>
    <row r="18" customFormat="false" ht="15" hidden="false" customHeight="false" outlineLevel="0" collapsed="false">
      <c r="A18" s="20" t="s">
        <v>363</v>
      </c>
      <c r="B18" s="52" t="n">
        <f aca="false">0.85</f>
        <v>0.85</v>
      </c>
      <c r="C18" s="52" t="n">
        <f aca="false">0.85</f>
        <v>0.85</v>
      </c>
      <c r="D18" s="52" t="n">
        <f aca="false">0.85</f>
        <v>0.85</v>
      </c>
      <c r="E18" s="52" t="n">
        <f aca="false">0.85</f>
        <v>0.85</v>
      </c>
      <c r="F18" s="52" t="n">
        <f aca="false">0.85</f>
        <v>0.85</v>
      </c>
      <c r="G18" s="52" t="n">
        <f aca="false">0.85</f>
        <v>0.85</v>
      </c>
      <c r="H18" s="52" t="n">
        <f aca="false">0.85</f>
        <v>0.85</v>
      </c>
      <c r="I18" s="52" t="n">
        <f aca="false">0.85</f>
        <v>0.85</v>
      </c>
      <c r="J18" s="52" t="n">
        <f aca="false">0.85</f>
        <v>0.85</v>
      </c>
      <c r="K18" s="52" t="n">
        <f aca="false">0.85</f>
        <v>0.85</v>
      </c>
      <c r="L18" s="52" t="n">
        <f aca="false">0.85</f>
        <v>0.85</v>
      </c>
      <c r="M18" s="52" t="n">
        <f aca="false">0.85</f>
        <v>0.85</v>
      </c>
    </row>
    <row r="19" customFormat="false" ht="15" hidden="false" customHeight="false" outlineLevel="0" collapsed="false">
      <c r="A19" s="7" t="s">
        <v>364</v>
      </c>
      <c r="B19" s="43" t="n">
        <f aca="false">B16*B17*B18</f>
        <v>14503.125</v>
      </c>
      <c r="C19" s="43" t="n">
        <f aca="false">C16*C17*C18</f>
        <v>14503.125</v>
      </c>
      <c r="D19" s="43" t="n">
        <f aca="false">D16*D17*D18</f>
        <v>14503.125</v>
      </c>
      <c r="E19" s="43" t="n">
        <f aca="false">E16*E17*E18</f>
        <v>14503.125</v>
      </c>
      <c r="F19" s="43" t="n">
        <f aca="false">F16*F17*F18</f>
        <v>14503.125</v>
      </c>
      <c r="G19" s="43" t="n">
        <f aca="false">G16*G17*G18</f>
        <v>14503.125</v>
      </c>
      <c r="H19" s="43" t="n">
        <f aca="false">H16*H17*H18</f>
        <v>19337.5</v>
      </c>
      <c r="I19" s="43" t="n">
        <f aca="false">I16*I17*I18</f>
        <v>19337.5</v>
      </c>
      <c r="J19" s="43" t="n">
        <f aca="false">J16*J17*J18</f>
        <v>19337.5</v>
      </c>
      <c r="K19" s="43" t="n">
        <f aca="false">K16*K17*K18</f>
        <v>19337.5</v>
      </c>
      <c r="L19" s="43" t="n">
        <f aca="false">L16*L17*L18</f>
        <v>19337.5</v>
      </c>
      <c r="M19" s="43" t="n">
        <f aca="false">M16*M17*M18</f>
        <v>19337.5</v>
      </c>
    </row>
    <row r="20" customFormat="false" ht="15" hidden="false" customHeight="false" outlineLevel="0" collapsed="false">
      <c r="A20" s="55" t="s">
        <v>365</v>
      </c>
      <c r="B20" s="21" t="n">
        <v>19000</v>
      </c>
      <c r="C20" s="21" t="n">
        <v>19000</v>
      </c>
      <c r="D20" s="21" t="n">
        <v>19000</v>
      </c>
      <c r="E20" s="21" t="n">
        <v>19000</v>
      </c>
      <c r="F20" s="21" t="n">
        <v>19000</v>
      </c>
      <c r="G20" s="21" t="n">
        <v>19000</v>
      </c>
      <c r="H20" s="21" t="n">
        <v>19000</v>
      </c>
      <c r="I20" s="21" t="n">
        <v>19000</v>
      </c>
      <c r="J20" s="21" t="n">
        <v>19000</v>
      </c>
      <c r="K20" s="21" t="n">
        <v>19000</v>
      </c>
      <c r="L20" s="21" t="n">
        <v>19000</v>
      </c>
      <c r="M20" s="21" t="n">
        <v>19000</v>
      </c>
    </row>
    <row r="22" customFormat="false" ht="21.75" hidden="false" customHeight="true" outlineLevel="0" collapsed="false">
      <c r="A22" s="5" t="s">
        <v>366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46" t="s">
        <v>367</v>
      </c>
      <c r="B23" s="57" t="n">
        <f aca="false">IFERROR(B19/B12,0)</f>
        <v>0.2060174127375</v>
      </c>
      <c r="C23" s="57" t="n">
        <f aca="false">IFERROR(C19/C12,0)</f>
        <v>0.393078529655796</v>
      </c>
      <c r="D23" s="57" t="n">
        <f aca="false">IFERROR(D19/D12,0)</f>
        <v>0.563078980336807</v>
      </c>
      <c r="E23" s="57" t="n">
        <f aca="false">IFERROR(E19/E12,0)</f>
        <v>0.633459653680194</v>
      </c>
      <c r="F23" s="57" t="n">
        <f aca="false">IFERROR(F19/F12,0)</f>
        <v>0.779310682240453</v>
      </c>
      <c r="G23" s="57" t="n">
        <f aca="false">IFERROR(G19/G12,0)</f>
        <v>0.901137137556898</v>
      </c>
      <c r="H23" s="57" t="n">
        <f aca="false">IFERROR(H19/H12,0)</f>
        <v>2.59403085949714</v>
      </c>
      <c r="I23" s="57" t="n">
        <f aca="false">IFERROR(I19/I12,0)</f>
        <v>2.79708158013221</v>
      </c>
      <c r="J23" s="57" t="n">
        <f aca="false">IFERROR(J19/J12,0)</f>
        <v>2.96935200217443</v>
      </c>
      <c r="K23" s="57" t="n">
        <f aca="false">IFERROR(K19/K12,0)</f>
        <v>4.80108355272565</v>
      </c>
      <c r="L23" s="57" t="n">
        <f aca="false">IFERROR(L19/L12,0)</f>
        <v>4.98648258138044</v>
      </c>
      <c r="M23" s="57" t="n">
        <f aca="false">IFERROR(M19/M12,0)</f>
        <v>5.14634484186327</v>
      </c>
    </row>
    <row r="24" customFormat="false" ht="15" hidden="false" customHeight="false" outlineLevel="0" collapsed="false">
      <c r="A24" s="55" t="s">
        <v>368</v>
      </c>
      <c r="B24" s="29" t="n">
        <v>10</v>
      </c>
      <c r="C24" s="29" t="n">
        <v>10</v>
      </c>
      <c r="D24" s="29" t="n">
        <v>10</v>
      </c>
      <c r="E24" s="29" t="n">
        <v>10</v>
      </c>
      <c r="F24" s="29" t="n">
        <v>10</v>
      </c>
      <c r="G24" s="29" t="n">
        <v>10</v>
      </c>
      <c r="H24" s="29" t="n">
        <v>10</v>
      </c>
      <c r="I24" s="29" t="n">
        <v>10</v>
      </c>
      <c r="J24" s="29" t="n">
        <v>10</v>
      </c>
      <c r="K24" s="29" t="n">
        <v>10</v>
      </c>
      <c r="L24" s="29" t="n">
        <v>10</v>
      </c>
      <c r="M24" s="29" t="n">
        <v>10</v>
      </c>
    </row>
    <row r="26" customFormat="false" ht="21.75" hidden="false" customHeight="true" outlineLevel="0" collapsed="false">
      <c r="A26" s="5" t="s">
        <v>369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20" t="s">
        <v>370</v>
      </c>
      <c r="B27" s="41" t="n">
        <f aca="false">B16*B18</f>
        <v>1160.25</v>
      </c>
      <c r="C27" s="41" t="n">
        <f aca="false">C16*C18</f>
        <v>1160.25</v>
      </c>
      <c r="D27" s="41" t="n">
        <f aca="false">D16*D18</f>
        <v>1160.25</v>
      </c>
      <c r="E27" s="41" t="n">
        <f aca="false">E16*E18</f>
        <v>1160.25</v>
      </c>
      <c r="F27" s="41" t="n">
        <f aca="false">F16*F18</f>
        <v>1160.25</v>
      </c>
      <c r="G27" s="41" t="n">
        <f aca="false">G16*G18</f>
        <v>1160.25</v>
      </c>
      <c r="H27" s="41" t="n">
        <f aca="false">H16*H18</f>
        <v>1160.25</v>
      </c>
      <c r="I27" s="41" t="n">
        <f aca="false">I16*I18</f>
        <v>1160.25</v>
      </c>
      <c r="J27" s="41" t="n">
        <f aca="false">J16*J18</f>
        <v>1160.25</v>
      </c>
      <c r="K27" s="41" t="n">
        <f aca="false">K16*K18</f>
        <v>1160.25</v>
      </c>
      <c r="L27" s="41" t="n">
        <f aca="false">L16*L18</f>
        <v>1160.25</v>
      </c>
      <c r="M27" s="41" t="n">
        <f aca="false">M16*M18</f>
        <v>1160.25</v>
      </c>
    </row>
    <row r="28" customFormat="false" ht="15" hidden="false" customHeight="false" outlineLevel="0" collapsed="false">
      <c r="A28" s="7" t="s">
        <v>371</v>
      </c>
      <c r="B28" s="58" t="n">
        <f aca="false">IFERROR(B12/B27,0)</f>
        <v>60.6744829667726</v>
      </c>
      <c r="C28" s="58" t="n">
        <f aca="false">IFERROR(C12/C27,0)</f>
        <v>31.8002614158188</v>
      </c>
      <c r="D28" s="58" t="n">
        <f aca="false">IFERROR(D12/D27,0)</f>
        <v>22.1993724442051</v>
      </c>
      <c r="E28" s="58" t="n">
        <f aca="false">IFERROR(E12/E27,0)</f>
        <v>19.7329063143629</v>
      </c>
      <c r="F28" s="58" t="n">
        <f aca="false">IFERROR(F12/F27,0)</f>
        <v>16.039816064196</v>
      </c>
      <c r="G28" s="58" t="n">
        <f aca="false">IFERROR(G12/G27,0)</f>
        <v>13.871362614007</v>
      </c>
      <c r="H28" s="58" t="n">
        <f aca="false">IFERROR(H12/H27,0)</f>
        <v>6.42500709104808</v>
      </c>
      <c r="I28" s="58" t="n">
        <f aca="false">IFERROR(I12/I27,0)</f>
        <v>5.95859154951029</v>
      </c>
      <c r="J28" s="58" t="n">
        <f aca="false">IFERROR(J12/J27,0)</f>
        <v>5.61289690628184</v>
      </c>
      <c r="K28" s="58" t="n">
        <f aca="false">IFERROR(K12/K27,0)</f>
        <v>3.47143857915256</v>
      </c>
      <c r="L28" s="58" t="n">
        <f aca="false">IFERROR(L12/L27,0)</f>
        <v>3.3423693745367</v>
      </c>
      <c r="M28" s="58" t="n">
        <f aca="false">IFERROR(M12/M27,0)</f>
        <v>3.23854447744943</v>
      </c>
    </row>
    <row r="30" customFormat="false" ht="21.75" hidden="false" customHeight="true" outlineLevel="0" collapsed="false">
      <c r="A30" s="5" t="s">
        <v>372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20" t="s">
        <v>373</v>
      </c>
      <c r="N31" s="43" t="n">
        <f aca="false">Воронка!N23</f>
        <v>213053.803740828</v>
      </c>
    </row>
    <row r="32" customFormat="false" ht="15" hidden="false" customHeight="false" outlineLevel="0" collapsed="false">
      <c r="A32" s="20" t="s">
        <v>374</v>
      </c>
      <c r="N32" s="43" t="n">
        <f aca="false">Доходы!N9</f>
        <v>502.285189243763</v>
      </c>
    </row>
    <row r="33" customFormat="false" ht="15" hidden="false" customHeight="false" outlineLevel="0" collapsed="false">
      <c r="A33" s="20" t="s">
        <v>375</v>
      </c>
      <c r="N33" s="43" t="n">
        <f aca="false">Доходы!M12</f>
        <v>424.425367665682</v>
      </c>
    </row>
    <row r="34" customFormat="false" ht="15" hidden="false" customHeight="false" outlineLevel="0" collapsed="false">
      <c r="A34" s="20" t="s">
        <v>376</v>
      </c>
      <c r="N34" s="43" t="n">
        <f aca="false">Доходы!M14</f>
        <v>579340.626863656</v>
      </c>
    </row>
    <row r="35" customFormat="false" ht="15" hidden="false" customHeight="false" outlineLevel="0" collapsed="false">
      <c r="A35" s="20" t="s">
        <v>377</v>
      </c>
      <c r="N35" s="43" t="n">
        <f aca="false">Доходы!M15</f>
        <v>6952087.52236387</v>
      </c>
    </row>
    <row r="36" customFormat="false" ht="15" hidden="false" customHeight="false" outlineLevel="0" collapsed="false">
      <c r="A36" s="20" t="s">
        <v>378</v>
      </c>
      <c r="N36" s="43" t="n">
        <f aca="false">Расходы!N33</f>
        <v>3801990.74816558</v>
      </c>
    </row>
    <row r="37" customFormat="false" ht="15" hidden="false" customHeight="false" outlineLevel="0" collapsed="false">
      <c r="A37" s="20" t="s">
        <v>379</v>
      </c>
      <c r="N37" s="43" t="n">
        <f aca="false">IFERROR(Расходы!N33/Доходы!N9,0)</f>
        <v>7569.38653494807</v>
      </c>
    </row>
    <row r="38" customFormat="false" ht="15" hidden="false" customHeight="false" outlineLevel="0" collapsed="false">
      <c r="A38" s="20" t="s">
        <v>380</v>
      </c>
      <c r="N38" s="57" t="n">
        <f aca="false">M23</f>
        <v>5.14634484186327</v>
      </c>
    </row>
    <row r="39" customFormat="false" ht="15" hidden="false" customHeight="false" outlineLevel="0" collapsed="false">
      <c r="A39" s="20" t="s">
        <v>371</v>
      </c>
      <c r="N39" s="58" t="n">
        <f aca="false">M28</f>
        <v>3.23854447744943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2"/>
    <col collapsed="false" customWidth="true" hidden="false" outlineLevel="0" max="5" min="5" style="0" width="40"/>
  </cols>
  <sheetData>
    <row r="2" customFormat="false" ht="25.5" hidden="false" customHeight="true" outlineLevel="0" collapsed="false">
      <c r="A2" s="33" t="s">
        <v>381</v>
      </c>
      <c r="B2" s="33"/>
      <c r="C2" s="33"/>
      <c r="D2" s="33"/>
      <c r="E2" s="33"/>
    </row>
    <row r="3" customFormat="false" ht="15.75" hidden="false" customHeight="true" outlineLevel="0" collapsed="false">
      <c r="A3" s="3" t="s">
        <v>382</v>
      </c>
      <c r="B3" s="3"/>
      <c r="C3" s="3"/>
      <c r="D3" s="3"/>
      <c r="E3" s="3"/>
    </row>
    <row r="5" customFormat="false" ht="24" hidden="false" customHeight="true" outlineLevel="0" collapsed="false">
      <c r="A5" s="59"/>
      <c r="B5" s="60" t="s">
        <v>383</v>
      </c>
      <c r="C5" s="61" t="s">
        <v>384</v>
      </c>
      <c r="D5" s="62" t="s">
        <v>385</v>
      </c>
      <c r="E5" s="17" t="s">
        <v>386</v>
      </c>
    </row>
    <row r="6" customFormat="false" ht="21.75" hidden="false" customHeight="true" outlineLevel="0" collapsed="false">
      <c r="A6" s="5" t="s">
        <v>387</v>
      </c>
      <c r="B6" s="6"/>
      <c r="C6" s="6"/>
      <c r="D6" s="6"/>
      <c r="E6" s="6"/>
    </row>
    <row r="7" customFormat="false" ht="36" hidden="false" customHeight="true" outlineLevel="0" collapsed="false">
      <c r="A7" s="24" t="s">
        <v>388</v>
      </c>
      <c r="B7" s="63" t="s">
        <v>389</v>
      </c>
      <c r="C7" s="63" t="s">
        <v>390</v>
      </c>
      <c r="D7" s="63" t="s">
        <v>391</v>
      </c>
    </row>
    <row r="8" customFormat="false" ht="36" hidden="false" customHeight="true" outlineLevel="0" collapsed="false">
      <c r="A8" s="24" t="s">
        <v>392</v>
      </c>
      <c r="B8" s="63" t="s">
        <v>393</v>
      </c>
      <c r="C8" s="63" t="s">
        <v>394</v>
      </c>
      <c r="D8" s="63" t="s">
        <v>395</v>
      </c>
    </row>
    <row r="10" customFormat="false" ht="21.75" hidden="false" customHeight="true" outlineLevel="0" collapsed="false">
      <c r="A10" s="5" t="s">
        <v>396</v>
      </c>
      <c r="B10" s="6"/>
      <c r="C10" s="6"/>
      <c r="D10" s="6"/>
      <c r="E10" s="6"/>
    </row>
    <row r="11" customFormat="false" ht="15" hidden="false" customHeight="false" outlineLevel="0" collapsed="false">
      <c r="A11" s="20" t="s">
        <v>397</v>
      </c>
      <c r="B11" s="64" t="n">
        <v>0.0025</v>
      </c>
      <c r="C11" s="65" t="n">
        <v>0.005</v>
      </c>
      <c r="D11" s="64" t="n">
        <v>0.012</v>
      </c>
      <c r="E11" s="66" t="s">
        <v>398</v>
      </c>
    </row>
    <row r="12" customFormat="false" ht="15" hidden="false" customHeight="false" outlineLevel="0" collapsed="false">
      <c r="A12" s="20" t="s">
        <v>399</v>
      </c>
      <c r="B12" s="64" t="n">
        <v>0.3</v>
      </c>
      <c r="C12" s="65" t="n">
        <v>0.45</v>
      </c>
      <c r="D12" s="64" t="n">
        <v>0.55</v>
      </c>
      <c r="E12" s="66" t="s">
        <v>400</v>
      </c>
    </row>
    <row r="13" customFormat="false" ht="15" hidden="false" customHeight="false" outlineLevel="0" collapsed="false">
      <c r="A13" s="20" t="s">
        <v>401</v>
      </c>
      <c r="B13" s="64" t="n">
        <v>0.001</v>
      </c>
      <c r="C13" s="65" t="n">
        <v>0.004</v>
      </c>
      <c r="D13" s="64" t="n">
        <v>0.003</v>
      </c>
      <c r="E13" s="66" t="s">
        <v>402</v>
      </c>
    </row>
    <row r="14" customFormat="false" ht="15" hidden="false" customHeight="false" outlineLevel="0" collapsed="false">
      <c r="A14" s="20" t="s">
        <v>403</v>
      </c>
      <c r="B14" s="64" t="n">
        <v>0.32</v>
      </c>
      <c r="C14" s="65" t="n">
        <v>0.45</v>
      </c>
      <c r="D14" s="64" t="n">
        <v>0.55</v>
      </c>
      <c r="E14" s="66" t="s">
        <v>404</v>
      </c>
    </row>
    <row r="15" customFormat="false" ht="15" hidden="false" customHeight="false" outlineLevel="0" collapsed="false">
      <c r="A15" s="20" t="s">
        <v>405</v>
      </c>
      <c r="B15" s="64" t="n">
        <v>0.1</v>
      </c>
      <c r="C15" s="65" t="n">
        <v>0.06</v>
      </c>
      <c r="D15" s="64" t="n">
        <v>0.04</v>
      </c>
      <c r="E15" s="66" t="s">
        <v>406</v>
      </c>
    </row>
    <row r="16" customFormat="false" ht="15" hidden="false" customHeight="false" outlineLevel="0" collapsed="false">
      <c r="A16" s="20" t="s">
        <v>407</v>
      </c>
      <c r="B16" s="67" t="n">
        <v>1300</v>
      </c>
      <c r="C16" s="68" t="n">
        <v>1365</v>
      </c>
      <c r="D16" s="67" t="n">
        <v>1450</v>
      </c>
      <c r="E16" s="66" t="s">
        <v>408</v>
      </c>
    </row>
    <row r="17" customFormat="false" ht="15" hidden="false" customHeight="false" outlineLevel="0" collapsed="false">
      <c r="A17" s="20" t="s">
        <v>409</v>
      </c>
      <c r="B17" s="69" t="n">
        <v>2</v>
      </c>
      <c r="C17" s="70" t="n">
        <v>3.8</v>
      </c>
      <c r="D17" s="69" t="n">
        <v>6</v>
      </c>
      <c r="E17" s="66" t="s">
        <v>410</v>
      </c>
    </row>
    <row r="19" customFormat="false" ht="21.75" hidden="false" customHeight="true" outlineLevel="0" collapsed="false">
      <c r="A19" s="5" t="s">
        <v>411</v>
      </c>
      <c r="B19" s="6"/>
      <c r="C19" s="6"/>
      <c r="D19" s="6"/>
      <c r="E19" s="6"/>
    </row>
    <row r="20" customFormat="false" ht="15" hidden="false" customHeight="false" outlineLevel="0" collapsed="false">
      <c r="A20" s="7" t="s">
        <v>412</v>
      </c>
      <c r="B20" s="43" t="n">
        <f aca="false">(Допущения!$C$14*B11*12*1.4+50000)*B14*B12*0.7</f>
        <v>8318.39232</v>
      </c>
      <c r="C20" s="43" t="n">
        <f aca="false">(Допущения!$C$14*C11*12*1.4+50000)*C14*C12*0.7</f>
        <v>28005.7176</v>
      </c>
      <c r="D20" s="43" t="n">
        <f aca="false">(Допущения!$C$14*D11*12*1.4+50000)*D14*D12*0.7</f>
        <v>85583.18384</v>
      </c>
      <c r="E20" s="22" t="s">
        <v>413</v>
      </c>
    </row>
    <row r="21" customFormat="false" ht="15" hidden="false" customHeight="false" outlineLevel="0" collapsed="false">
      <c r="A21" s="7" t="s">
        <v>414</v>
      </c>
      <c r="B21" s="43" t="n">
        <f aca="false">IFERROR(B20*0.65*B13/B15,0)</f>
        <v>54.06955008</v>
      </c>
      <c r="C21" s="43" t="n">
        <f aca="false">IFERROR(C20*0.65*C13/C15,0)</f>
        <v>1213.581096</v>
      </c>
      <c r="D21" s="43" t="n">
        <f aca="false">IFERROR(D20*0.65*D13/D15,0)</f>
        <v>4172.1802122</v>
      </c>
      <c r="E21" s="22" t="s">
        <v>415</v>
      </c>
    </row>
    <row r="22" customFormat="false" ht="15" hidden="false" customHeight="false" outlineLevel="0" collapsed="false">
      <c r="A22" s="7" t="s">
        <v>416</v>
      </c>
      <c r="B22" s="43" t="n">
        <f aca="false">B21*B16*12</f>
        <v>843484.981248</v>
      </c>
      <c r="C22" s="43" t="n">
        <f aca="false">C21*C16*12</f>
        <v>19878458.35248</v>
      </c>
      <c r="D22" s="43" t="n">
        <f aca="false">D21*D16*12</f>
        <v>72595935.69228</v>
      </c>
      <c r="E22" s="22" t="s">
        <v>417</v>
      </c>
    </row>
    <row r="23" customFormat="false" ht="15" hidden="false" customHeight="false" outlineLevel="0" collapsed="false">
      <c r="A23" s="7" t="s">
        <v>418</v>
      </c>
      <c r="B23" s="57" t="n">
        <f aca="false">IFERROR((B16*0.85/B15)/(B17*1000000/MAX(B21*0.8,1)),0)</f>
        <v>0.2389874113536</v>
      </c>
      <c r="C23" s="57" t="n">
        <f aca="false">IFERROR((C16*0.85/C15)/(C17*1000000/MAX(C21*0.8,1)),0)</f>
        <v>4.94055251450526</v>
      </c>
      <c r="D23" s="57" t="n">
        <f aca="false">IFERROR((D16*0.85/D15)/(D17*1000000/MAX(D21*0.8,1)),0)</f>
        <v>17.140707038455</v>
      </c>
      <c r="E23" s="22" t="s">
        <v>419</v>
      </c>
    </row>
    <row r="24" customFormat="false" ht="15" hidden="false" customHeight="false" outlineLevel="0" collapsed="false">
      <c r="A24" s="7" t="s">
        <v>420</v>
      </c>
      <c r="B24" s="71" t="n">
        <f aca="false">(B21*B16*6+2200000-(B17*1000000+22700000+2300000+1200000+500000+200000))/1000000</f>
        <v>-26.278257509376</v>
      </c>
      <c r="C24" s="71" t="n">
        <f aca="false">(C21*C16*6+2200000-(C17*1000000+22700000+2300000+1200000+500000+200000))/1000000</f>
        <v>-18.56077082376</v>
      </c>
      <c r="D24" s="71" t="n">
        <f aca="false">(D21*D16*6+2200000-(D17*1000000+22700000+2300000+1200000+500000+200000))/1000000</f>
        <v>5.59796784614001</v>
      </c>
      <c r="E24" s="22" t="s">
        <v>421</v>
      </c>
    </row>
    <row r="25" customFormat="false" ht="15" hidden="false" customHeight="false" outlineLevel="0" collapsed="false">
      <c r="A25" s="7" t="s">
        <v>422</v>
      </c>
      <c r="B25" s="71" t="n">
        <f aca="false">MAX(0,-(B24+12))</f>
        <v>14.278257509376</v>
      </c>
      <c r="C25" s="71" t="n">
        <f aca="false">MAX(0,-(C24+12))</f>
        <v>6.56077082376</v>
      </c>
      <c r="D25" s="71" t="n">
        <f aca="false">MAX(0,-(D24+12))</f>
        <v>0</v>
      </c>
      <c r="E25" s="22" t="s">
        <v>423</v>
      </c>
    </row>
    <row r="27" customFormat="false" ht="21.75" hidden="false" customHeight="true" outlineLevel="0" collapsed="false">
      <c r="A27" s="5" t="s">
        <v>424</v>
      </c>
      <c r="B27" s="6"/>
      <c r="C27" s="6"/>
      <c r="D27" s="6"/>
      <c r="E27" s="6"/>
    </row>
    <row r="28" customFormat="false" ht="31.5" hidden="false" customHeight="true" outlineLevel="0" collapsed="false">
      <c r="A28" s="72" t="s">
        <v>425</v>
      </c>
      <c r="B28" s="73" t="s">
        <v>426</v>
      </c>
      <c r="C28" s="73"/>
      <c r="D28" s="73"/>
      <c r="E28" s="73"/>
    </row>
    <row r="29" customFormat="false" ht="31.5" hidden="false" customHeight="true" outlineLevel="0" collapsed="false">
      <c r="A29" s="74" t="s">
        <v>427</v>
      </c>
      <c r="B29" s="73" t="s">
        <v>428</v>
      </c>
      <c r="C29" s="73"/>
      <c r="D29" s="73"/>
      <c r="E29" s="73"/>
    </row>
    <row r="30" customFormat="false" ht="31.5" hidden="false" customHeight="true" outlineLevel="0" collapsed="false">
      <c r="A30" s="75" t="s">
        <v>429</v>
      </c>
      <c r="B30" s="73" t="s">
        <v>430</v>
      </c>
      <c r="C30" s="73"/>
      <c r="D30" s="73"/>
      <c r="E30" s="73"/>
    </row>
  </sheetData>
  <mergeCells count="5">
    <mergeCell ref="A2:E2"/>
    <mergeCell ref="A3:E3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1"/>
  </cols>
  <sheetData>
    <row r="1" customFormat="false" ht="37.5" hidden="false" customHeight="true" outlineLevel="0" collapsed="false">
      <c r="A1" s="76" t="s">
        <v>431</v>
      </c>
      <c r="B1" s="76"/>
      <c r="C1" s="76"/>
      <c r="D1" s="76"/>
      <c r="E1" s="76"/>
      <c r="F1" s="76"/>
    </row>
    <row r="2" customFormat="false" ht="18" hidden="false" customHeight="true" outlineLevel="0" collapsed="false">
      <c r="A2" s="77" t="s">
        <v>432</v>
      </c>
      <c r="B2" s="77"/>
      <c r="C2" s="77"/>
      <c r="D2" s="77"/>
      <c r="E2" s="77"/>
      <c r="F2" s="77"/>
    </row>
    <row r="4" customFormat="false" ht="21.75" hidden="false" customHeight="true" outlineLevel="0" collapsed="false">
      <c r="A4" s="78" t="s">
        <v>433</v>
      </c>
      <c r="B4" s="78" t="s">
        <v>434</v>
      </c>
      <c r="C4" s="78" t="s">
        <v>435</v>
      </c>
      <c r="D4" s="78" t="s">
        <v>436</v>
      </c>
      <c r="E4" s="78" t="s">
        <v>437</v>
      </c>
      <c r="F4" s="78" t="s">
        <v>438</v>
      </c>
    </row>
    <row r="5" customFormat="false" ht="36" hidden="false" customHeight="true" outlineLevel="0" collapsed="false">
      <c r="A5" s="79" t="n">
        <f aca="false">Воронка!M30</f>
        <v>23928.4525353176</v>
      </c>
      <c r="B5" s="79" t="n">
        <f aca="false">Доходы!M12</f>
        <v>424.425367665682</v>
      </c>
      <c r="C5" s="80" t="n">
        <f aca="false">Доходы!M14</f>
        <v>579340.626863656</v>
      </c>
      <c r="D5" s="80" t="n">
        <f aca="false">Доходы!M15</f>
        <v>6952087.52236387</v>
      </c>
      <c r="E5" s="81" t="n">
        <f aca="false">'P&amp;L'!N27</f>
        <v>-26027383.4847647</v>
      </c>
      <c r="F5" s="81" t="n">
        <f aca="false">Cashflow!M20</f>
        <v>-12334431.2544186</v>
      </c>
    </row>
    <row r="6" customFormat="false" ht="18" hidden="false" customHeight="true" outlineLevel="0" collapsed="false">
      <c r="A6" s="82" t="s">
        <v>439</v>
      </c>
      <c r="B6" s="82" t="s">
        <v>440</v>
      </c>
      <c r="C6" s="82" t="s">
        <v>441</v>
      </c>
      <c r="D6" s="82" t="s">
        <v>442</v>
      </c>
      <c r="E6" s="82" t="s">
        <v>443</v>
      </c>
      <c r="F6" s="82" t="s">
        <v>444</v>
      </c>
    </row>
    <row r="8" customFormat="false" ht="21.75" hidden="false" customHeight="true" outlineLevel="0" collapsed="false">
      <c r="A8" s="78" t="s">
        <v>445</v>
      </c>
      <c r="B8" s="78" t="s">
        <v>446</v>
      </c>
      <c r="C8" s="78" t="s">
        <v>447</v>
      </c>
      <c r="D8" s="78" t="s">
        <v>418</v>
      </c>
      <c r="E8" s="78" t="s">
        <v>448</v>
      </c>
      <c r="F8" s="78" t="s">
        <v>449</v>
      </c>
    </row>
    <row r="9" customFormat="false" ht="36" hidden="false" customHeight="true" outlineLevel="0" collapsed="false">
      <c r="A9" s="80" t="n">
        <f aca="false">'P&amp;L'!N9</f>
        <v>4467653.81124203</v>
      </c>
      <c r="B9" s="80" t="n">
        <f aca="false">Расходы!N47</f>
        <v>30495037.2960068</v>
      </c>
      <c r="C9" s="83" t="n">
        <f aca="false">'P&amp;L'!N17/'P&amp;L'!N9</f>
        <v>0.867033890059617</v>
      </c>
      <c r="D9" s="84" t="n">
        <f aca="false">'Юнит-экономика'!M23</f>
        <v>5.14634484186327</v>
      </c>
      <c r="E9" s="85" t="n">
        <f aca="false">'Юнит-экономика'!M28</f>
        <v>3.23854447744943</v>
      </c>
      <c r="F9" s="80" t="n">
        <f aca="false">MAX(0,-MIN(Cashflow!B20:M20))</f>
        <v>12334431.2544186</v>
      </c>
    </row>
    <row r="10" customFormat="false" ht="18" hidden="false" customHeight="true" outlineLevel="0" collapsed="false">
      <c r="A10" s="82" t="s">
        <v>450</v>
      </c>
      <c r="B10" s="82" t="s">
        <v>451</v>
      </c>
      <c r="C10" s="82" t="s">
        <v>452</v>
      </c>
      <c r="D10" s="82" t="s">
        <v>453</v>
      </c>
      <c r="E10" s="82" t="s">
        <v>454</v>
      </c>
      <c r="F10" s="82" t="s">
        <v>455</v>
      </c>
    </row>
    <row r="11" customFormat="false" ht="24" hidden="false" customHeight="true" outlineLevel="0" collapsed="false">
      <c r="A11" s="86" t="s">
        <v>456</v>
      </c>
      <c r="B11" s="86"/>
      <c r="C11" s="86"/>
      <c r="D11" s="86"/>
      <c r="E11" s="86"/>
      <c r="F11" s="86"/>
    </row>
    <row r="49" customFormat="false" ht="13.5" hidden="false" customHeight="true" outlineLevel="0" collapsed="false">
      <c r="A49" s="87" t="s">
        <v>457</v>
      </c>
      <c r="B49" s="87"/>
      <c r="C49" s="87"/>
      <c r="D49" s="87"/>
      <c r="E49" s="87"/>
      <c r="F49" s="87"/>
    </row>
    <row r="50" customFormat="false" ht="15" hidden="false" customHeight="false" outlineLevel="0" collapsed="false">
      <c r="A50" s="10" t="s">
        <v>458</v>
      </c>
      <c r="B50" s="10" t="s">
        <v>459</v>
      </c>
      <c r="C50" s="10" t="s">
        <v>460</v>
      </c>
      <c r="D50" s="10" t="s">
        <v>461</v>
      </c>
      <c r="E50" s="10" t="s">
        <v>462</v>
      </c>
      <c r="F50" s="10" t="s">
        <v>463</v>
      </c>
      <c r="G50" s="10" t="s">
        <v>464</v>
      </c>
      <c r="H50" s="10" t="s">
        <v>465</v>
      </c>
    </row>
    <row r="51" customFormat="false" ht="15" hidden="false" customHeight="false" outlineLevel="0" collapsed="false">
      <c r="A51" s="0" t="s">
        <v>466</v>
      </c>
      <c r="B51" s="40" t="n">
        <f aca="false">Воронка!B30</f>
        <v>2130.7554</v>
      </c>
      <c r="C51" s="21" t="n">
        <v>1666</v>
      </c>
      <c r="D51" s="40" t="n">
        <f aca="false">Доходы!B12</f>
        <v>2.1307554</v>
      </c>
      <c r="E51" s="21" t="n">
        <v>0</v>
      </c>
      <c r="F51" s="40" t="n">
        <f aca="false">Доходы!B14</f>
        <v>2908.481121</v>
      </c>
      <c r="G51" s="40" t="n">
        <f aca="false">Cashflow!B20</f>
        <v>10038637.8462442</v>
      </c>
      <c r="H51" s="40" t="n">
        <f aca="false">'P&amp;L'!B29</f>
        <v>-1968543.86483151</v>
      </c>
    </row>
    <row r="52" customFormat="false" ht="15" hidden="false" customHeight="false" outlineLevel="0" collapsed="false">
      <c r="A52" s="0" t="s">
        <v>467</v>
      </c>
      <c r="B52" s="40" t="n">
        <f aca="false">Воронка!C30</f>
        <v>4065.45344181818</v>
      </c>
      <c r="C52" s="21" t="n">
        <v>3333</v>
      </c>
      <c r="D52" s="40" t="n">
        <f aca="false">Доходы!C12</f>
        <v>6.02574840981818</v>
      </c>
      <c r="E52" s="21" t="n">
        <v>0</v>
      </c>
      <c r="F52" s="40" t="n">
        <f aca="false">Доходы!C14</f>
        <v>8225.14657940182</v>
      </c>
      <c r="G52" s="40" t="n">
        <f aca="false">Cashflow!C20</f>
        <v>8088737.98348935</v>
      </c>
      <c r="H52" s="40" t="n">
        <f aca="false">'P&amp;L'!C29</f>
        <v>-3932146.338412</v>
      </c>
    </row>
    <row r="53" customFormat="false" ht="15" hidden="false" customHeight="false" outlineLevel="0" collapsed="false">
      <c r="A53" s="0" t="s">
        <v>468</v>
      </c>
      <c r="B53" s="40" t="n">
        <f aca="false">Воронка!D30</f>
        <v>5823.69986127273</v>
      </c>
      <c r="C53" s="21" t="n">
        <v>5000</v>
      </c>
      <c r="D53" s="40" t="n">
        <f aca="false">Доходы!D12</f>
        <v>11.3673883983055</v>
      </c>
      <c r="E53" s="21" t="n">
        <v>0</v>
      </c>
      <c r="F53" s="40" t="n">
        <f aca="false">Доходы!D14</f>
        <v>15516.485163687</v>
      </c>
      <c r="G53" s="40" t="n">
        <f aca="false">Cashflow!D20</f>
        <v>6006623.08914753</v>
      </c>
      <c r="H53" s="40" t="n">
        <f aca="false">'P&amp;L'!D29</f>
        <v>-6033890.01313624</v>
      </c>
    </row>
    <row r="54" customFormat="false" ht="15" hidden="false" customHeight="false" outlineLevel="0" collapsed="false">
      <c r="A54" s="0" t="s">
        <v>469</v>
      </c>
      <c r="B54" s="40" t="n">
        <f aca="false">Воронка!E30</f>
        <v>8547.96220552927</v>
      </c>
      <c r="C54" s="21" t="n">
        <v>11666</v>
      </c>
      <c r="D54" s="40" t="n">
        <f aca="false">Доходы!E12</f>
        <v>27.5539217374996</v>
      </c>
      <c r="E54" s="21" t="n">
        <v>167</v>
      </c>
      <c r="F54" s="40" t="n">
        <f aca="false">Доходы!E14</f>
        <v>37611.1031716869</v>
      </c>
      <c r="G54" s="40" t="n">
        <f aca="false">Cashflow!E20</f>
        <v>3773321.03403616</v>
      </c>
      <c r="H54" s="40" t="n">
        <f aca="false">'P&amp;L'!E29</f>
        <v>-8324813.88147508</v>
      </c>
    </row>
    <row r="55" customFormat="false" ht="15" hidden="false" customHeight="false" outlineLevel="0" collapsed="false">
      <c r="A55" s="0" t="s">
        <v>470</v>
      </c>
      <c r="B55" s="40" t="n">
        <f aca="false">Воронка!F30</f>
        <v>11036.5709213223</v>
      </c>
      <c r="C55" s="21" t="n">
        <v>18333</v>
      </c>
      <c r="D55" s="40" t="n">
        <f aca="false">Доходы!F12</f>
        <v>47.4227498411442</v>
      </c>
      <c r="E55" s="21" t="n">
        <v>333</v>
      </c>
      <c r="F55" s="40" t="n">
        <f aca="false">Доходы!F14</f>
        <v>64732.0535331619</v>
      </c>
      <c r="G55" s="40" t="n">
        <f aca="false">Cashflow!F20</f>
        <v>1562291.62483845</v>
      </c>
      <c r="H55" s="40" t="n">
        <f aca="false">'P&amp;L'!F29</f>
        <v>-10610240.8152534</v>
      </c>
    </row>
    <row r="56" customFormat="false" ht="15" hidden="false" customHeight="false" outlineLevel="0" collapsed="false">
      <c r="A56" s="0" t="s">
        <v>471</v>
      </c>
      <c r="B56" s="40" t="n">
        <f aca="false">Воронка!G30</f>
        <v>13311.6585974372</v>
      </c>
      <c r="C56" s="21" t="n">
        <v>25000</v>
      </c>
      <c r="D56" s="40" t="n">
        <f aca="false">Доходы!G12</f>
        <v>70.2522470487271</v>
      </c>
      <c r="E56" s="21" t="n">
        <v>500</v>
      </c>
      <c r="F56" s="40" t="n">
        <f aca="false">Доходы!G14</f>
        <v>95894.3172215125</v>
      </c>
      <c r="G56" s="40" t="n">
        <f aca="false">Cashflow!G20</f>
        <v>-823790.829503698</v>
      </c>
      <c r="H56" s="40" t="n">
        <f aca="false">'P&amp;L'!G29</f>
        <v>-13086057.1602009</v>
      </c>
    </row>
    <row r="57" customFormat="false" ht="15" hidden="false" customHeight="false" outlineLevel="0" collapsed="false">
      <c r="A57" s="0" t="s">
        <v>472</v>
      </c>
      <c r="B57" s="40" t="n">
        <f aca="false">Воронка!H30</f>
        <v>15411.5138752864</v>
      </c>
      <c r="C57" s="21" t="n">
        <v>33333</v>
      </c>
      <c r="D57" s="40" t="n">
        <f aca="false">Доходы!H12</f>
        <v>112.271653851663</v>
      </c>
      <c r="E57" s="21" t="n">
        <v>733</v>
      </c>
      <c r="F57" s="40" t="n">
        <f aca="false">Доходы!H14</f>
        <v>153250.80750752</v>
      </c>
      <c r="G57" s="40" t="n">
        <f aca="false">Cashflow!H20</f>
        <v>-2949999.81832838</v>
      </c>
      <c r="H57" s="40" t="n">
        <f aca="false">'P&amp;L'!H29</f>
        <v>-15368099.6715755</v>
      </c>
    </row>
    <row r="58" customFormat="false" ht="15" hidden="false" customHeight="false" outlineLevel="0" collapsed="false">
      <c r="A58" s="0" t="s">
        <v>473</v>
      </c>
      <c r="B58" s="40" t="n">
        <f aca="false">Воронка!I30</f>
        <v>17337.8310164543</v>
      </c>
      <c r="C58" s="21" t="n">
        <v>41666</v>
      </c>
      <c r="D58" s="40" t="n">
        <f aca="false">Доходы!I12</f>
        <v>157.548847669926</v>
      </c>
      <c r="E58" s="21" t="n">
        <v>967</v>
      </c>
      <c r="F58" s="40" t="n">
        <f aca="false">Доходы!I14</f>
        <v>215054.177069449</v>
      </c>
      <c r="G58" s="40" t="n">
        <f aca="false">Cashflow!I20</f>
        <v>-4959184.75521204</v>
      </c>
      <c r="H58" s="40" t="n">
        <f aca="false">'P&amp;L'!I29</f>
        <v>-17552596.0867821</v>
      </c>
    </row>
    <row r="59" customFormat="false" ht="15" hidden="false" customHeight="false" outlineLevel="0" collapsed="false">
      <c r="A59" s="0" t="s">
        <v>474</v>
      </c>
      <c r="B59" s="40" t="n">
        <f aca="false">Воронка!J30</f>
        <v>19106.7976583303</v>
      </c>
      <c r="C59" s="21" t="n">
        <v>50000</v>
      </c>
      <c r="D59" s="40" t="n">
        <f aca="false">Доходы!J12</f>
        <v>205.416309784721</v>
      </c>
      <c r="E59" s="21" t="n">
        <v>1200</v>
      </c>
      <c r="F59" s="40" t="n">
        <f aca="false">Доходы!J14</f>
        <v>280393.262856144</v>
      </c>
      <c r="G59" s="40" t="n">
        <f aca="false">Cashflow!J20</f>
        <v>-7158080.63970292</v>
      </c>
      <c r="H59" s="40" t="n">
        <f aca="false">'P&amp;L'!J29</f>
        <v>-19944690.3557952</v>
      </c>
    </row>
    <row r="60" customFormat="false" ht="15" hidden="false" customHeight="false" outlineLevel="0" collapsed="false">
      <c r="A60" s="0" t="s">
        <v>475</v>
      </c>
      <c r="B60" s="40" t="n">
        <f aca="false">Воронка!K30</f>
        <v>20847.3513492736</v>
      </c>
      <c r="C60" s="21" t="n">
        <v>60000</v>
      </c>
      <c r="D60" s="40" t="n">
        <f aca="false">Доходы!K12</f>
        <v>276.480736594732</v>
      </c>
      <c r="E60" s="21" t="n">
        <v>1467</v>
      </c>
      <c r="F60" s="40" t="n">
        <f aca="false">Доходы!K14</f>
        <v>377396.20545181</v>
      </c>
      <c r="G60" s="40" t="n">
        <f aca="false">Cashflow!K20</f>
        <v>-8939810.13424516</v>
      </c>
      <c r="H60" s="40" t="n">
        <f aca="false">'P&amp;L'!K29</f>
        <v>-22007483.8412283</v>
      </c>
    </row>
    <row r="61" customFormat="false" ht="15" hidden="false" customHeight="false" outlineLevel="0" collapsed="false">
      <c r="A61" s="0" t="s">
        <v>476</v>
      </c>
      <c r="B61" s="40" t="n">
        <f aca="false">Воронка!L30</f>
        <v>22450.3134758792</v>
      </c>
      <c r="C61" s="21" t="n">
        <v>70000</v>
      </c>
      <c r="D61" s="40" t="n">
        <f aca="false">Доходы!L12</f>
        <v>349.693146302565</v>
      </c>
      <c r="E61" s="21" t="n">
        <v>1733</v>
      </c>
      <c r="F61" s="40" t="n">
        <f aca="false">Доходы!L14</f>
        <v>477331.144703002</v>
      </c>
      <c r="G61" s="40" t="n">
        <f aca="false">Cashflow!L20</f>
        <v>-10562413.5835358</v>
      </c>
      <c r="H61" s="40" t="n">
        <f aca="false">'P&amp;L'!L29</f>
        <v>-23932762.4168007</v>
      </c>
    </row>
    <row r="62" customFormat="false" ht="15" hidden="false" customHeight="false" outlineLevel="0" collapsed="false">
      <c r="A62" s="0" t="s">
        <v>477</v>
      </c>
      <c r="B62" s="40" t="n">
        <f aca="false">Воронка!M30</f>
        <v>23928.4525353176</v>
      </c>
      <c r="C62" s="21" t="n">
        <v>80000</v>
      </c>
      <c r="D62" s="40" t="n">
        <f aca="false">Доходы!M12</f>
        <v>424.425367665682</v>
      </c>
      <c r="E62" s="21" t="n">
        <v>2000</v>
      </c>
      <c r="F62" s="40" t="n">
        <f aca="false">Доходы!M14</f>
        <v>579340.626863656</v>
      </c>
      <c r="G62" s="40" t="n">
        <f aca="false">Cashflow!M20</f>
        <v>-12334431.2544186</v>
      </c>
      <c r="H62" s="40" t="n">
        <f aca="false">'P&amp;L'!M29</f>
        <v>-26027383.4847647</v>
      </c>
    </row>
  </sheetData>
  <mergeCells count="4">
    <mergeCell ref="A1:F1"/>
    <mergeCell ref="A2:F2"/>
    <mergeCell ref="A11:F11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2026-05-25T13:36:29Z</dcterms:created>
  <dc:creator>openpyxl</dc:creator>
  <dc:description/>
  <dc:language>en-US</dc:language>
  <cp:lastModifiedBy/>
  <dcterms:modified xsi:type="dcterms:W3CDTF">2026-05-25T13:36:31Z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